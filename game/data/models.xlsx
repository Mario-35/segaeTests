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of\AOBox\Recherche\SEGAE\model\CMS\upload\210125\"/>
    </mc:Choice>
  </mc:AlternateContent>
  <bookViews>
    <workbookView xWindow="0" yWindow="0" windowWidth="25200" windowHeight="11835"/>
  </bookViews>
  <sheets>
    <sheet name="crop" sheetId="12" r:id="rId1"/>
    <sheet name="environment" sheetId="14" r:id="rId2"/>
    <sheet name="animal" sheetId="13" r:id="rId3"/>
    <sheet name="socioeco" sheetId="15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AY151" i="12" l="1"/>
  <c r="AX151" i="12"/>
  <c r="AV151" i="12"/>
  <c r="AT151" i="12"/>
  <c r="AQ151" i="12"/>
  <c r="AP151" i="12"/>
  <c r="AX150" i="12"/>
  <c r="AW150" i="12"/>
  <c r="AV150" i="12"/>
  <c r="AQ150" i="12"/>
  <c r="AP150" i="12"/>
  <c r="AZ149" i="12"/>
  <c r="AY149" i="12"/>
  <c r="AP149" i="12"/>
  <c r="AZ148" i="12"/>
  <c r="AW148" i="12"/>
  <c r="AP148" i="12"/>
  <c r="AW147" i="12"/>
  <c r="AV147" i="12"/>
  <c r="AT147" i="12"/>
  <c r="AP147" i="12"/>
  <c r="AX146" i="12"/>
  <c r="AW146" i="12"/>
  <c r="AP146" i="12"/>
  <c r="AY145" i="12"/>
  <c r="AT145" i="12"/>
  <c r="AP145" i="12"/>
  <c r="AY144" i="12"/>
  <c r="AS144" i="12"/>
  <c r="AP144" i="12"/>
  <c r="AM142" i="12"/>
  <c r="AN142" i="12"/>
  <c r="AK142" i="12"/>
  <c r="AI142" i="12"/>
  <c r="AF142" i="12"/>
  <c r="AE142" i="12"/>
  <c r="AM141" i="12"/>
  <c r="AL141" i="12"/>
  <c r="AK141" i="12"/>
  <c r="AF141" i="12"/>
  <c r="AE141" i="12"/>
  <c r="AO140" i="12"/>
  <c r="AL139" i="12"/>
  <c r="AN140" i="12"/>
  <c r="AE140" i="12"/>
  <c r="AO139" i="12"/>
  <c r="AE139" i="12"/>
  <c r="AL138" i="12"/>
  <c r="AK138" i="12"/>
  <c r="AI138" i="12"/>
  <c r="AE138" i="12"/>
  <c r="AM137" i="12"/>
  <c r="AL137" i="12"/>
  <c r="AE137" i="12"/>
  <c r="AN136" i="12"/>
  <c r="AI136" i="12"/>
  <c r="AE136" i="12"/>
  <c r="AN135" i="12"/>
  <c r="AH135" i="12"/>
  <c r="AE135" i="12"/>
  <c r="AO169" i="14" l="1"/>
  <c r="AO168" i="14"/>
  <c r="AO165" i="14"/>
  <c r="AO164" i="14"/>
  <c r="AN160" i="14"/>
  <c r="AN159" i="14"/>
  <c r="AN156" i="14"/>
  <c r="AN155" i="14"/>
  <c r="AO151" i="14"/>
  <c r="AO150" i="14"/>
  <c r="AO147" i="14"/>
  <c r="AO146" i="14"/>
  <c r="AN142" i="14"/>
  <c r="AN141" i="14"/>
  <c r="AN138" i="14"/>
  <c r="AN137" i="14"/>
  <c r="B169" i="15"/>
  <c r="A169" i="15"/>
  <c r="B168" i="15"/>
  <c r="A168" i="15"/>
  <c r="B167" i="15"/>
  <c r="A167" i="15"/>
  <c r="B166" i="15"/>
  <c r="A166" i="15"/>
  <c r="B165" i="15"/>
  <c r="A165" i="15"/>
  <c r="B164" i="15"/>
  <c r="A164" i="15"/>
  <c r="B163" i="15"/>
  <c r="A163" i="15"/>
  <c r="B162" i="15"/>
  <c r="A162" i="15"/>
  <c r="B161" i="15"/>
  <c r="A161" i="15"/>
  <c r="B160" i="15"/>
  <c r="A160" i="15"/>
  <c r="B159" i="15"/>
  <c r="A159" i="15"/>
  <c r="B158" i="15"/>
  <c r="A158" i="15"/>
  <c r="B157" i="15"/>
  <c r="A157" i="15"/>
  <c r="B156" i="15"/>
  <c r="A156" i="15"/>
  <c r="B155" i="15"/>
  <c r="A155" i="15"/>
  <c r="B154" i="15"/>
  <c r="A154" i="15"/>
  <c r="B153" i="15"/>
  <c r="A153" i="15"/>
  <c r="B152" i="15"/>
  <c r="A152" i="15"/>
  <c r="B151" i="15"/>
  <c r="A151" i="15"/>
  <c r="B150" i="15"/>
  <c r="A150" i="15"/>
  <c r="B149" i="15"/>
  <c r="A149" i="15"/>
  <c r="B148" i="15"/>
  <c r="A148" i="15"/>
  <c r="B147" i="15"/>
  <c r="A147" i="15"/>
  <c r="B146" i="15"/>
  <c r="A146" i="15"/>
  <c r="B145" i="15"/>
  <c r="A145" i="15"/>
  <c r="B144" i="15"/>
  <c r="A144" i="15"/>
  <c r="B143" i="15"/>
  <c r="A143" i="15"/>
  <c r="B142" i="15"/>
  <c r="A142" i="15"/>
  <c r="B141" i="15"/>
  <c r="A141" i="15"/>
  <c r="B140" i="15"/>
  <c r="A140" i="15"/>
  <c r="B139" i="15"/>
  <c r="A139" i="15"/>
  <c r="B138" i="15"/>
  <c r="A138" i="15"/>
  <c r="B137" i="15"/>
  <c r="A137" i="15"/>
  <c r="B136" i="15"/>
  <c r="A136" i="15"/>
  <c r="B135" i="15"/>
  <c r="A135" i="15"/>
  <c r="B134" i="15"/>
  <c r="A134" i="15"/>
  <c r="B169" i="13"/>
  <c r="A169" i="13"/>
  <c r="B168" i="13"/>
  <c r="A168" i="13"/>
  <c r="B167" i="13"/>
  <c r="A167" i="13"/>
  <c r="B166" i="13"/>
  <c r="A166" i="13"/>
  <c r="B165" i="13"/>
  <c r="A165" i="13"/>
  <c r="B164" i="13"/>
  <c r="A164" i="13"/>
  <c r="B163" i="13"/>
  <c r="A163" i="13"/>
  <c r="B162" i="13"/>
  <c r="A162" i="13"/>
  <c r="B161" i="13"/>
  <c r="A161" i="13"/>
  <c r="B160" i="13"/>
  <c r="A160" i="13"/>
  <c r="B159" i="13"/>
  <c r="A159" i="13"/>
  <c r="B158" i="13"/>
  <c r="A158" i="13"/>
  <c r="B157" i="13"/>
  <c r="A157" i="13"/>
  <c r="B156" i="13"/>
  <c r="A156" i="13"/>
  <c r="B155" i="13"/>
  <c r="A155" i="13"/>
  <c r="B154" i="13"/>
  <c r="A154" i="13"/>
  <c r="B153" i="13"/>
  <c r="A153" i="13"/>
  <c r="B152" i="13"/>
  <c r="A152" i="13"/>
  <c r="B151" i="13"/>
  <c r="A151" i="13"/>
  <c r="B150" i="13"/>
  <c r="A150" i="13"/>
  <c r="B149" i="13"/>
  <c r="A149" i="13"/>
  <c r="B148" i="13"/>
  <c r="A148" i="13"/>
  <c r="B147" i="13"/>
  <c r="A147" i="13"/>
  <c r="B146" i="13"/>
  <c r="A146" i="13"/>
  <c r="B145" i="13"/>
  <c r="A145" i="13"/>
  <c r="B144" i="13"/>
  <c r="A144" i="13"/>
  <c r="B143" i="13"/>
  <c r="A143" i="13"/>
  <c r="B142" i="13"/>
  <c r="A142" i="13"/>
  <c r="B141" i="13"/>
  <c r="A141" i="13"/>
  <c r="B140" i="13"/>
  <c r="A140" i="13"/>
  <c r="B139" i="13"/>
  <c r="A139" i="13"/>
  <c r="B138" i="13"/>
  <c r="A138" i="13"/>
  <c r="B137" i="13"/>
  <c r="A137" i="13"/>
  <c r="B136" i="13"/>
  <c r="A136" i="13"/>
  <c r="B135" i="13"/>
  <c r="A135" i="13"/>
  <c r="B134" i="13"/>
  <c r="A134" i="13"/>
  <c r="B169" i="14"/>
  <c r="A169" i="14"/>
  <c r="B168" i="14"/>
  <c r="A168" i="14"/>
  <c r="B167" i="14"/>
  <c r="A167" i="14"/>
  <c r="B166" i="14"/>
  <c r="A166" i="14"/>
  <c r="B165" i="14"/>
  <c r="A165" i="14"/>
  <c r="B164" i="14"/>
  <c r="A164" i="14"/>
  <c r="B163" i="14"/>
  <c r="A163" i="14"/>
  <c r="B162" i="14"/>
  <c r="A162" i="14"/>
  <c r="B161" i="14"/>
  <c r="A161" i="14"/>
  <c r="B160" i="14"/>
  <c r="A160" i="14"/>
  <c r="B159" i="14"/>
  <c r="A159" i="14"/>
  <c r="B158" i="14"/>
  <c r="A158" i="14"/>
  <c r="B157" i="14"/>
  <c r="A157" i="14"/>
  <c r="B156" i="14"/>
  <c r="A156" i="14"/>
  <c r="B155" i="14"/>
  <c r="A155" i="14"/>
  <c r="B154" i="14"/>
  <c r="A154" i="14"/>
  <c r="B153" i="14"/>
  <c r="A153" i="14"/>
  <c r="B152" i="14"/>
  <c r="A152" i="14"/>
  <c r="B151" i="14"/>
  <c r="A151" i="14"/>
  <c r="B150" i="14"/>
  <c r="A150" i="14"/>
  <c r="B149" i="14"/>
  <c r="A149" i="14"/>
  <c r="B148" i="14"/>
  <c r="A148" i="14"/>
  <c r="B147" i="14"/>
  <c r="A147" i="14"/>
  <c r="B146" i="14"/>
  <c r="A146" i="14"/>
  <c r="B145" i="14"/>
  <c r="A145" i="14"/>
  <c r="B144" i="14"/>
  <c r="A144" i="14"/>
  <c r="B143" i="14"/>
  <c r="A143" i="14"/>
  <c r="B142" i="14"/>
  <c r="A142" i="14"/>
  <c r="B141" i="14"/>
  <c r="A141" i="14"/>
  <c r="B140" i="14"/>
  <c r="A140" i="14"/>
  <c r="B139" i="14"/>
  <c r="A139" i="14"/>
  <c r="B138" i="14"/>
  <c r="A138" i="14"/>
  <c r="B137" i="14"/>
  <c r="A137" i="14"/>
  <c r="B136" i="14"/>
  <c r="A136" i="14"/>
  <c r="B135" i="14"/>
  <c r="A135" i="14"/>
  <c r="B134" i="14"/>
  <c r="A134" i="14"/>
  <c r="AZ169" i="12"/>
  <c r="AW169" i="12"/>
  <c r="AV169" i="12"/>
  <c r="AT169" i="12"/>
  <c r="AP169" i="12"/>
  <c r="AX168" i="12"/>
  <c r="AW168" i="12"/>
  <c r="AV168" i="12"/>
  <c r="AS168" i="12"/>
  <c r="AP168" i="12"/>
  <c r="AZ167" i="12"/>
  <c r="AW167" i="12"/>
  <c r="AT167" i="12"/>
  <c r="AP167" i="12"/>
  <c r="AZ166" i="12"/>
  <c r="AW166" i="12"/>
  <c r="AS166" i="12"/>
  <c r="AP166" i="12"/>
  <c r="AX164" i="12"/>
  <c r="AW164" i="12"/>
  <c r="AP164" i="12"/>
  <c r="AO160" i="12"/>
  <c r="AL160" i="12"/>
  <c r="AK160" i="12"/>
  <c r="AI160" i="12"/>
  <c r="AE160" i="12"/>
  <c r="AM159" i="12"/>
  <c r="AL159" i="12"/>
  <c r="AK159" i="12"/>
  <c r="AH159" i="12"/>
  <c r="AE159" i="12"/>
  <c r="AO158" i="12"/>
  <c r="AL158" i="12"/>
  <c r="AI158" i="12"/>
  <c r="AE158" i="12"/>
  <c r="AO157" i="12"/>
  <c r="AL157" i="12"/>
  <c r="AH157" i="12"/>
  <c r="AE157" i="12"/>
  <c r="AM155" i="12"/>
  <c r="AL155" i="12"/>
  <c r="AE155" i="12"/>
  <c r="BT48" i="12" l="1"/>
  <c r="BM44" i="12"/>
  <c r="BB35" i="12"/>
  <c r="BM133" i="12" l="1"/>
  <c r="BM132" i="12"/>
  <c r="BM131" i="12"/>
  <c r="BB124" i="12"/>
  <c r="BB123" i="12"/>
  <c r="BB122" i="12"/>
  <c r="BW83" i="12"/>
  <c r="BW82" i="12"/>
  <c r="BW81" i="12"/>
  <c r="BW80" i="12"/>
  <c r="BW79" i="12"/>
  <c r="BW78" i="12"/>
  <c r="BW77" i="12"/>
  <c r="BW76" i="12"/>
  <c r="BL81" i="12"/>
  <c r="BL80" i="12"/>
  <c r="BL83" i="12"/>
  <c r="BL82" i="12"/>
  <c r="BL79" i="12"/>
  <c r="BL77" i="12"/>
  <c r="BL78" i="12"/>
  <c r="BL76" i="12"/>
  <c r="BV83" i="12"/>
  <c r="BT83" i="12"/>
  <c r="BQ83" i="12"/>
  <c r="BP83" i="12"/>
  <c r="BO83" i="12"/>
  <c r="BN83" i="12"/>
  <c r="BM83" i="12"/>
  <c r="BV82" i="12"/>
  <c r="BT82" i="12"/>
  <c r="BQ82" i="12"/>
  <c r="BP82" i="12"/>
  <c r="BO82" i="12"/>
  <c r="BN82" i="12"/>
  <c r="BM82" i="12"/>
  <c r="BV81" i="12"/>
  <c r="BT81" i="12"/>
  <c r="BQ81" i="12"/>
  <c r="BP81" i="12"/>
  <c r="BO81" i="12"/>
  <c r="BN81" i="12"/>
  <c r="BM81" i="12"/>
  <c r="BV80" i="12"/>
  <c r="BT80" i="12"/>
  <c r="BQ80" i="12"/>
  <c r="BP80" i="12"/>
  <c r="BO80" i="12"/>
  <c r="BN80" i="12"/>
  <c r="BM80" i="12"/>
  <c r="BV79" i="12"/>
  <c r="BT79" i="12"/>
  <c r="BQ79" i="12"/>
  <c r="BP79" i="12"/>
  <c r="BO79" i="12"/>
  <c r="BN79" i="12"/>
  <c r="BM79" i="12"/>
  <c r="BV78" i="12"/>
  <c r="BT78" i="12"/>
  <c r="BQ78" i="12"/>
  <c r="BP78" i="12"/>
  <c r="BO78" i="12"/>
  <c r="BN78" i="12"/>
  <c r="BM78" i="12"/>
  <c r="BV77" i="12"/>
  <c r="BT77" i="12"/>
  <c r="BQ77" i="12"/>
  <c r="BP77" i="12"/>
  <c r="BO77" i="12"/>
  <c r="BN77" i="12"/>
  <c r="BM77" i="12"/>
  <c r="BV76" i="12"/>
  <c r="BT76" i="12"/>
  <c r="BQ76" i="12"/>
  <c r="BP76" i="12"/>
  <c r="BO76" i="12"/>
  <c r="BN76" i="12"/>
  <c r="BM76" i="12"/>
  <c r="BF81" i="12"/>
  <c r="BF80" i="12"/>
  <c r="BF78" i="12"/>
  <c r="BF83" i="12"/>
  <c r="BF82" i="12"/>
  <c r="BF79" i="12"/>
  <c r="BF77" i="12"/>
  <c r="BF76" i="12"/>
  <c r="BE83" i="12"/>
  <c r="BE82" i="12"/>
  <c r="BE81" i="12"/>
  <c r="BE80" i="12"/>
  <c r="BE79" i="12"/>
  <c r="BE78" i="12"/>
  <c r="BE77" i="12"/>
  <c r="BE76" i="12"/>
  <c r="BD81" i="12"/>
  <c r="BD80" i="12"/>
  <c r="BD78" i="12"/>
  <c r="BD83" i="12"/>
  <c r="BD82" i="12"/>
  <c r="BD79" i="12"/>
  <c r="BD77" i="12"/>
  <c r="BD76" i="12"/>
  <c r="BC83" i="12" l="1"/>
  <c r="BC82" i="12"/>
  <c r="BC81" i="12"/>
  <c r="BC80" i="12"/>
  <c r="BC79" i="12"/>
  <c r="BC78" i="12"/>
  <c r="BC77" i="12"/>
  <c r="BC76" i="12"/>
  <c r="BI39" i="12"/>
  <c r="AO133" i="14" l="1"/>
  <c r="AO132" i="14"/>
  <c r="AO129" i="14"/>
  <c r="AO128" i="14"/>
  <c r="AN124" i="14"/>
  <c r="AN123" i="14"/>
  <c r="AN120" i="14"/>
  <c r="AN119" i="14"/>
  <c r="B133" i="15"/>
  <c r="A133" i="15"/>
  <c r="B132" i="15"/>
  <c r="A132" i="15"/>
  <c r="B131" i="15"/>
  <c r="A131" i="15"/>
  <c r="B130" i="15"/>
  <c r="A130" i="15"/>
  <c r="B129" i="15"/>
  <c r="A129" i="15"/>
  <c r="B128" i="15"/>
  <c r="A128" i="15"/>
  <c r="B127" i="15"/>
  <c r="A127" i="15"/>
  <c r="B126" i="15"/>
  <c r="A126" i="15"/>
  <c r="B125" i="15"/>
  <c r="A125" i="15"/>
  <c r="B124" i="15"/>
  <c r="A124" i="15"/>
  <c r="B123" i="15"/>
  <c r="A123" i="15"/>
  <c r="B122" i="15"/>
  <c r="A122" i="15"/>
  <c r="B121" i="15"/>
  <c r="A121" i="15"/>
  <c r="B120" i="15"/>
  <c r="A120" i="15"/>
  <c r="B119" i="15"/>
  <c r="A119" i="15"/>
  <c r="B118" i="15"/>
  <c r="A118" i="15"/>
  <c r="B117" i="15"/>
  <c r="A117" i="15"/>
  <c r="B116" i="15"/>
  <c r="A116" i="15"/>
  <c r="B133" i="13"/>
  <c r="A133" i="13"/>
  <c r="B132" i="13"/>
  <c r="A132" i="13"/>
  <c r="B131" i="13"/>
  <c r="A131" i="13"/>
  <c r="B130" i="13"/>
  <c r="A130" i="13"/>
  <c r="B129" i="13"/>
  <c r="A129" i="13"/>
  <c r="B128" i="13"/>
  <c r="A128" i="13"/>
  <c r="B127" i="13"/>
  <c r="A127" i="13"/>
  <c r="B126" i="13"/>
  <c r="A126" i="13"/>
  <c r="B125" i="13"/>
  <c r="A125" i="13"/>
  <c r="B124" i="13"/>
  <c r="A124" i="13"/>
  <c r="B123" i="13"/>
  <c r="A123" i="13"/>
  <c r="B122" i="13"/>
  <c r="A122" i="13"/>
  <c r="B121" i="13"/>
  <c r="A121" i="13"/>
  <c r="B120" i="13"/>
  <c r="A120" i="13"/>
  <c r="B119" i="13"/>
  <c r="A119" i="13"/>
  <c r="B118" i="13"/>
  <c r="A118" i="13"/>
  <c r="B117" i="13"/>
  <c r="A117" i="13"/>
  <c r="B116" i="13"/>
  <c r="A116" i="13"/>
  <c r="B133" i="14"/>
  <c r="A133" i="14"/>
  <c r="B132" i="14"/>
  <c r="A132" i="14"/>
  <c r="B131" i="14"/>
  <c r="A131" i="14"/>
  <c r="B130" i="14"/>
  <c r="A130" i="14"/>
  <c r="B129" i="14"/>
  <c r="A129" i="14"/>
  <c r="B128" i="14"/>
  <c r="A128" i="14"/>
  <c r="B127" i="14"/>
  <c r="A127" i="14"/>
  <c r="B126" i="14"/>
  <c r="A126" i="14"/>
  <c r="B125" i="14"/>
  <c r="A125" i="14"/>
  <c r="B124" i="14"/>
  <c r="A124" i="14"/>
  <c r="B123" i="14"/>
  <c r="A123" i="14"/>
  <c r="B122" i="14"/>
  <c r="A122" i="14"/>
  <c r="B121" i="14"/>
  <c r="A121" i="14"/>
  <c r="B120" i="14"/>
  <c r="A120" i="14"/>
  <c r="B119" i="14"/>
  <c r="A119" i="14"/>
  <c r="B118" i="14"/>
  <c r="A118" i="14"/>
  <c r="B117" i="14"/>
  <c r="A117" i="14"/>
  <c r="B116" i="14"/>
  <c r="A116" i="14"/>
  <c r="GW83" i="15"/>
  <c r="GK83" i="15"/>
  <c r="GW82" i="15"/>
  <c r="GK82" i="15"/>
  <c r="GW81" i="15"/>
  <c r="GK81" i="15"/>
  <c r="GW80" i="15"/>
  <c r="GK80" i="15"/>
  <c r="GW79" i="15"/>
  <c r="GK79" i="15"/>
  <c r="GW78" i="15"/>
  <c r="GK78" i="15"/>
  <c r="GW77" i="15"/>
  <c r="GK77" i="15"/>
  <c r="GW76" i="15"/>
  <c r="GK76" i="15"/>
  <c r="GF18" i="15"/>
  <c r="GV17" i="15"/>
  <c r="GV15" i="15"/>
  <c r="GU15" i="15"/>
  <c r="GT15" i="15"/>
  <c r="GS15" i="15"/>
  <c r="GV14" i="15"/>
  <c r="GU14" i="15"/>
  <c r="GT14" i="15"/>
  <c r="GV13" i="15"/>
  <c r="GU13" i="15"/>
  <c r="GT13" i="15"/>
  <c r="GS13" i="15"/>
  <c r="GJ13" i="15"/>
  <c r="GW8" i="15"/>
  <c r="GM8" i="15"/>
  <c r="GR5" i="15"/>
  <c r="GW4" i="15"/>
  <c r="GR4" i="15"/>
  <c r="GK4" i="15"/>
  <c r="GE4" i="15"/>
  <c r="GW3" i="15"/>
  <c r="GR3" i="15"/>
  <c r="GK3" i="15"/>
  <c r="GE3" i="15"/>
  <c r="BU83" i="15"/>
  <c r="BI83" i="15"/>
  <c r="BU82" i="15"/>
  <c r="BI82" i="15"/>
  <c r="BU81" i="15"/>
  <c r="BI81" i="15"/>
  <c r="BU80" i="15"/>
  <c r="BI80" i="15"/>
  <c r="BU79" i="15"/>
  <c r="BI79" i="15"/>
  <c r="BU78" i="15"/>
  <c r="BI78" i="15"/>
  <c r="BU77" i="15"/>
  <c r="BI77" i="15"/>
  <c r="BU76" i="15"/>
  <c r="BI76" i="15"/>
  <c r="BD18" i="15"/>
  <c r="BT17" i="15"/>
  <c r="BT15" i="15"/>
  <c r="BS15" i="15"/>
  <c r="BR15" i="15"/>
  <c r="BQ15" i="15"/>
  <c r="BT14" i="15"/>
  <c r="BS14" i="15"/>
  <c r="BR14" i="15"/>
  <c r="BT13" i="15"/>
  <c r="BS13" i="15"/>
  <c r="BR13" i="15"/>
  <c r="BQ13" i="15"/>
  <c r="BH13" i="15"/>
  <c r="BU8" i="15"/>
  <c r="BK8" i="15"/>
  <c r="BP5" i="15"/>
  <c r="BU4" i="15"/>
  <c r="BP4" i="15"/>
  <c r="BI4" i="15"/>
  <c r="BC4" i="15"/>
  <c r="BU3" i="15"/>
  <c r="BP3" i="15"/>
  <c r="BI3" i="15"/>
  <c r="BC3" i="15"/>
  <c r="R19" i="15"/>
  <c r="Q19" i="15"/>
  <c r="Q18" i="15"/>
  <c r="R11" i="15"/>
  <c r="Q11" i="15"/>
  <c r="R8" i="15"/>
  <c r="Q8" i="15"/>
  <c r="R5" i="15"/>
  <c r="R4" i="15"/>
  <c r="Q4" i="15"/>
  <c r="R3" i="15"/>
  <c r="Q3" i="15"/>
  <c r="G19" i="15"/>
  <c r="F19" i="15"/>
  <c r="F18" i="15"/>
  <c r="G11" i="15"/>
  <c r="F11" i="15"/>
  <c r="G8" i="15"/>
  <c r="F8" i="15"/>
  <c r="G5" i="15"/>
  <c r="G4" i="15"/>
  <c r="F4" i="15"/>
  <c r="G3" i="15"/>
  <c r="F3" i="15"/>
  <c r="CX98" i="13" l="1"/>
  <c r="CT98" i="13"/>
  <c r="CX97" i="13"/>
  <c r="CX96" i="13"/>
  <c r="CP97" i="13"/>
  <c r="CP96" i="13"/>
  <c r="DR94" i="13" l="1"/>
  <c r="DN94" i="13"/>
  <c r="DR92" i="13"/>
  <c r="DN92" i="13"/>
  <c r="DR91" i="13"/>
  <c r="DN91" i="13"/>
  <c r="DR90" i="13"/>
  <c r="DN90" i="13"/>
  <c r="DR89" i="13"/>
  <c r="DN89" i="13"/>
  <c r="DR88" i="13"/>
  <c r="DN88" i="13"/>
  <c r="DU2" i="13"/>
  <c r="DT2" i="13"/>
  <c r="DS2" i="13"/>
  <c r="DR2" i="13"/>
  <c r="DQ2" i="13"/>
  <c r="DP2" i="13"/>
  <c r="DO2" i="13"/>
  <c r="DN2" i="13"/>
  <c r="AZ48" i="12" l="1"/>
  <c r="AW48" i="12"/>
  <c r="AO39" i="12" l="1"/>
  <c r="AL39" i="12"/>
  <c r="B72" i="15" l="1"/>
  <c r="B72" i="13"/>
  <c r="B72" i="14"/>
  <c r="A72" i="12"/>
  <c r="A72" i="15" s="1"/>
  <c r="A72" i="14" l="1"/>
  <c r="A72" i="13"/>
  <c r="DJ2" i="13" l="1"/>
  <c r="DI2" i="13"/>
  <c r="DH2" i="13"/>
  <c r="DG2" i="13"/>
  <c r="DF2" i="13"/>
  <c r="DE2" i="13"/>
  <c r="DD2" i="13"/>
  <c r="DC2" i="13"/>
  <c r="DB2" i="13"/>
  <c r="DA2" i="13"/>
  <c r="CZ2" i="13"/>
  <c r="CY2" i="13"/>
  <c r="CX2" i="13"/>
  <c r="CW2" i="13"/>
  <c r="CV2" i="13"/>
  <c r="CU2" i="13"/>
  <c r="CT2" i="13"/>
  <c r="CS2" i="13"/>
  <c r="CR2" i="13"/>
  <c r="CQ2" i="13"/>
  <c r="CP2" i="13"/>
  <c r="CO2" i="13"/>
  <c r="CN2" i="13"/>
  <c r="CM2" i="13"/>
  <c r="CL2" i="13"/>
  <c r="CK2" i="13"/>
  <c r="CJ2" i="13"/>
  <c r="CI2" i="13"/>
  <c r="CH2" i="13"/>
  <c r="CG2" i="13"/>
  <c r="CF2" i="13"/>
  <c r="CE2" i="13"/>
  <c r="CD2" i="13"/>
  <c r="CC2" i="13" l="1"/>
  <c r="CB2" i="13"/>
  <c r="CA2" i="13"/>
  <c r="BZ2" i="13"/>
  <c r="BY2" i="13"/>
  <c r="BX2" i="13"/>
  <c r="BW2" i="13"/>
  <c r="BV2" i="13"/>
  <c r="BU2" i="13"/>
  <c r="BT2" i="13"/>
  <c r="BS2" i="13"/>
  <c r="BR2" i="13"/>
  <c r="BQ2" i="13"/>
  <c r="BN2" i="13"/>
  <c r="BP2" i="13"/>
  <c r="BO2" i="13"/>
  <c r="BM2" i="13"/>
  <c r="BL2" i="13"/>
  <c r="BK2" i="13"/>
  <c r="BJ2" i="13"/>
  <c r="DM2" i="13"/>
  <c r="DL2" i="13"/>
  <c r="DK2" i="13"/>
  <c r="BI2" i="13" l="1"/>
  <c r="BH2" i="13"/>
  <c r="BG2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 l="1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 l="1"/>
  <c r="Q2" i="13"/>
  <c r="P2" i="13"/>
  <c r="O2" i="13"/>
  <c r="N2" i="13"/>
  <c r="M2" i="13"/>
  <c r="L2" i="13"/>
  <c r="K2" i="13"/>
  <c r="J2" i="13"/>
  <c r="I2" i="13"/>
  <c r="R2" i="13"/>
  <c r="H2" i="13" l="1"/>
  <c r="G2" i="13"/>
  <c r="F2" i="13"/>
  <c r="E2" i="13"/>
  <c r="D2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LI2" i="15" l="1"/>
  <c r="LH2" i="15"/>
  <c r="LG2" i="15"/>
  <c r="LF2" i="15"/>
  <c r="LE2" i="15"/>
  <c r="LD2" i="15"/>
  <c r="LC2" i="15"/>
  <c r="LB2" i="15"/>
  <c r="LA2" i="15"/>
  <c r="KZ2" i="15"/>
  <c r="KY2" i="15"/>
  <c r="KX2" i="15"/>
  <c r="KW2" i="15"/>
  <c r="KV2" i="15"/>
  <c r="KU2" i="15"/>
  <c r="KT2" i="15"/>
  <c r="KS2" i="15"/>
  <c r="KC93" i="15" l="1"/>
  <c r="KB83" i="15"/>
  <c r="JK83" i="15"/>
  <c r="IL83" i="15"/>
  <c r="HN83" i="15"/>
  <c r="HI83" i="15"/>
  <c r="FR83" i="15"/>
  <c r="FF83" i="15"/>
  <c r="KB82" i="15"/>
  <c r="JK82" i="15"/>
  <c r="IL82" i="15"/>
  <c r="HN82" i="15"/>
  <c r="HI82" i="15"/>
  <c r="FR82" i="15"/>
  <c r="FF82" i="15"/>
  <c r="JV81" i="15"/>
  <c r="JL81" i="15"/>
  <c r="IM81" i="15"/>
  <c r="HN81" i="15"/>
  <c r="HI81" i="15"/>
  <c r="FR81" i="15"/>
  <c r="FF81" i="15"/>
  <c r="JV80" i="15"/>
  <c r="JL80" i="15"/>
  <c r="IM80" i="15"/>
  <c r="HN80" i="15"/>
  <c r="HI80" i="15"/>
  <c r="FR80" i="15"/>
  <c r="FF80" i="15"/>
  <c r="KB79" i="15"/>
  <c r="JK79" i="15"/>
  <c r="IL79" i="15"/>
  <c r="HN79" i="15"/>
  <c r="HI79" i="15"/>
  <c r="FR79" i="15"/>
  <c r="FF79" i="15"/>
  <c r="JV78" i="15"/>
  <c r="JL78" i="15"/>
  <c r="IM78" i="15"/>
  <c r="HN78" i="15"/>
  <c r="HI78" i="15"/>
  <c r="FR78" i="15"/>
  <c r="FF78" i="15"/>
  <c r="KB77" i="15"/>
  <c r="JK77" i="15"/>
  <c r="IL77" i="15"/>
  <c r="HN77" i="15"/>
  <c r="HI77" i="15"/>
  <c r="FR77" i="15"/>
  <c r="FF77" i="15"/>
  <c r="KB76" i="15"/>
  <c r="JK76" i="15"/>
  <c r="IL76" i="15"/>
  <c r="HN76" i="15"/>
  <c r="HI76" i="15"/>
  <c r="FR76" i="15"/>
  <c r="FF76" i="15"/>
  <c r="JD20" i="15"/>
  <c r="JE19" i="15"/>
  <c r="JE18" i="15"/>
  <c r="IO18" i="15"/>
  <c r="JE17" i="15"/>
  <c r="HS9" i="15"/>
  <c r="FW9" i="15"/>
  <c r="FK9" i="15"/>
  <c r="JR8" i="15"/>
  <c r="IT8" i="15"/>
  <c r="IF8" i="15"/>
  <c r="HT8" i="15"/>
  <c r="HH8" i="15"/>
  <c r="FX8" i="15"/>
  <c r="FL8" i="15"/>
  <c r="KB5" i="15"/>
  <c r="JD5" i="15"/>
  <c r="KB4" i="15"/>
  <c r="JM4" i="15"/>
  <c r="JD4" i="15"/>
  <c r="IN4" i="15"/>
  <c r="II4" i="15"/>
  <c r="HV4" i="15"/>
  <c r="HG4" i="15"/>
  <c r="FZ4" i="15"/>
  <c r="FN4" i="15"/>
  <c r="KB3" i="15"/>
  <c r="JM3" i="15"/>
  <c r="JD3" i="15"/>
  <c r="IN3" i="15"/>
  <c r="II3" i="15"/>
  <c r="HV3" i="15"/>
  <c r="HH3" i="15"/>
  <c r="HG3" i="15"/>
  <c r="FZ3" i="15"/>
  <c r="FN3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BP2" i="15"/>
  <c r="BQ2" i="15"/>
  <c r="BR2" i="15"/>
  <c r="BS2" i="15"/>
  <c r="BT2" i="15"/>
  <c r="BU2" i="15"/>
  <c r="BV2" i="15"/>
  <c r="BW2" i="15"/>
  <c r="BX2" i="15"/>
  <c r="BY2" i="15"/>
  <c r="BZ2" i="15"/>
  <c r="CA2" i="15"/>
  <c r="CB2" i="15"/>
  <c r="CC2" i="15"/>
  <c r="CD2" i="15"/>
  <c r="CE2" i="15"/>
  <c r="CF2" i="15"/>
  <c r="CG2" i="15"/>
  <c r="CH2" i="15"/>
  <c r="CI2" i="15"/>
  <c r="CJ2" i="15"/>
  <c r="CK2" i="15"/>
  <c r="CL2" i="15"/>
  <c r="CM2" i="15"/>
  <c r="CN2" i="15"/>
  <c r="CO2" i="15"/>
  <c r="CP2" i="15"/>
  <c r="CQ2" i="15"/>
  <c r="CR2" i="15"/>
  <c r="CS2" i="15"/>
  <c r="CT2" i="15"/>
  <c r="CU2" i="15"/>
  <c r="CV2" i="15"/>
  <c r="CW2" i="15"/>
  <c r="CX2" i="15"/>
  <c r="CY2" i="15"/>
  <c r="CZ2" i="15"/>
  <c r="DA2" i="15"/>
  <c r="DB2" i="15"/>
  <c r="DC2" i="15"/>
  <c r="DD2" i="15"/>
  <c r="DE2" i="15"/>
  <c r="DF2" i="15"/>
  <c r="DG2" i="15"/>
  <c r="DH2" i="15"/>
  <c r="DI2" i="15"/>
  <c r="DJ2" i="15"/>
  <c r="DK2" i="15"/>
  <c r="DL2" i="15"/>
  <c r="DM2" i="15"/>
  <c r="DN2" i="15"/>
  <c r="DO2" i="15"/>
  <c r="DP2" i="15"/>
  <c r="DQ2" i="15"/>
  <c r="DR2" i="15"/>
  <c r="DS2" i="15"/>
  <c r="DT2" i="15"/>
  <c r="DU2" i="15"/>
  <c r="DV2" i="15"/>
  <c r="DW2" i="15"/>
  <c r="DX2" i="15"/>
  <c r="DY2" i="15"/>
  <c r="DZ2" i="15"/>
  <c r="EA2" i="15"/>
  <c r="EB2" i="15"/>
  <c r="EC2" i="15"/>
  <c r="ED2" i="15"/>
  <c r="EE2" i="15"/>
  <c r="EF2" i="15"/>
  <c r="EG2" i="15"/>
  <c r="EH2" i="15"/>
  <c r="EI2" i="15"/>
  <c r="EJ2" i="15"/>
  <c r="EK2" i="15"/>
  <c r="EL2" i="15"/>
  <c r="EM2" i="15"/>
  <c r="EN2" i="15"/>
  <c r="EO2" i="15"/>
  <c r="EP2" i="15"/>
  <c r="EQ2" i="15"/>
  <c r="ER2" i="15"/>
  <c r="ES2" i="15"/>
  <c r="ET2" i="15"/>
  <c r="EU2" i="15"/>
  <c r="EV2" i="15"/>
  <c r="EW2" i="15"/>
  <c r="EX2" i="15"/>
  <c r="EY2" i="15"/>
  <c r="EZ2" i="15"/>
  <c r="FA2" i="15"/>
  <c r="FB2" i="15"/>
  <c r="FC2" i="15"/>
  <c r="FD2" i="15"/>
  <c r="FE2" i="15"/>
  <c r="FF2" i="15"/>
  <c r="FG2" i="15"/>
  <c r="FH2" i="15"/>
  <c r="FI2" i="15"/>
  <c r="FJ2" i="15"/>
  <c r="FK2" i="15"/>
  <c r="FL2" i="15"/>
  <c r="FM2" i="15"/>
  <c r="FN2" i="15"/>
  <c r="FO2" i="15"/>
  <c r="FP2" i="15"/>
  <c r="FQ2" i="15"/>
  <c r="FR2" i="15"/>
  <c r="FS2" i="15"/>
  <c r="FT2" i="15"/>
  <c r="FU2" i="15"/>
  <c r="FV2" i="15"/>
  <c r="FW2" i="15"/>
  <c r="FX2" i="15"/>
  <c r="FY2" i="15"/>
  <c r="FZ2" i="15"/>
  <c r="GA2" i="15"/>
  <c r="GB2" i="15"/>
  <c r="GC2" i="15"/>
  <c r="GD2" i="15"/>
  <c r="GE2" i="15"/>
  <c r="GF2" i="15"/>
  <c r="GG2" i="15"/>
  <c r="GH2" i="15"/>
  <c r="GI2" i="15"/>
  <c r="GJ2" i="15"/>
  <c r="GK2" i="15"/>
  <c r="GL2" i="15"/>
  <c r="GM2" i="15"/>
  <c r="GN2" i="15"/>
  <c r="GO2" i="15"/>
  <c r="GP2" i="15"/>
  <c r="GQ2" i="15"/>
  <c r="GR2" i="15"/>
  <c r="GS2" i="15"/>
  <c r="GT2" i="15"/>
  <c r="GU2" i="15"/>
  <c r="GV2" i="15"/>
  <c r="GW2" i="15"/>
  <c r="GX2" i="15"/>
  <c r="GY2" i="15"/>
  <c r="GZ2" i="15"/>
  <c r="HA2" i="15"/>
  <c r="HB2" i="15"/>
  <c r="HC2" i="15"/>
  <c r="HD2" i="15"/>
  <c r="HE2" i="15"/>
  <c r="HF2" i="15"/>
  <c r="HG2" i="15"/>
  <c r="HH2" i="15"/>
  <c r="HI2" i="15"/>
  <c r="HJ2" i="15"/>
  <c r="HK2" i="15"/>
  <c r="HL2" i="15"/>
  <c r="HM2" i="15"/>
  <c r="HN2" i="15"/>
  <c r="HO2" i="15"/>
  <c r="HP2" i="15"/>
  <c r="HQ2" i="15"/>
  <c r="HR2" i="15"/>
  <c r="HS2" i="15"/>
  <c r="HT2" i="15"/>
  <c r="HU2" i="15"/>
  <c r="HV2" i="15"/>
  <c r="HW2" i="15"/>
  <c r="HX2" i="15"/>
  <c r="HY2" i="15"/>
  <c r="HZ2" i="15"/>
  <c r="IA2" i="15"/>
  <c r="IB2" i="15"/>
  <c r="IC2" i="15"/>
  <c r="ID2" i="15"/>
  <c r="IE2" i="15"/>
  <c r="IF2" i="15"/>
  <c r="IG2" i="15"/>
  <c r="IH2" i="15"/>
  <c r="II2" i="15"/>
  <c r="IJ2" i="15"/>
  <c r="IK2" i="15"/>
  <c r="IL2" i="15"/>
  <c r="IM2" i="15"/>
  <c r="IN2" i="15"/>
  <c r="IO2" i="15"/>
  <c r="IP2" i="15"/>
  <c r="IQ2" i="15"/>
  <c r="IR2" i="15"/>
  <c r="IS2" i="15"/>
  <c r="IT2" i="15"/>
  <c r="IU2" i="15"/>
  <c r="IV2" i="15"/>
  <c r="IW2" i="15"/>
  <c r="IX2" i="15"/>
  <c r="IY2" i="15"/>
  <c r="IZ2" i="15"/>
  <c r="JA2" i="15"/>
  <c r="JB2" i="15"/>
  <c r="JC2" i="15"/>
  <c r="JD2" i="15"/>
  <c r="JE2" i="15"/>
  <c r="JF2" i="15"/>
  <c r="JG2" i="15"/>
  <c r="JH2" i="15"/>
  <c r="JI2" i="15"/>
  <c r="JJ2" i="15"/>
  <c r="JK2" i="15"/>
  <c r="JL2" i="15"/>
  <c r="JM2" i="15"/>
  <c r="JN2" i="15"/>
  <c r="JO2" i="15"/>
  <c r="JP2" i="15"/>
  <c r="JQ2" i="15"/>
  <c r="JR2" i="15"/>
  <c r="JS2" i="15"/>
  <c r="JT2" i="15"/>
  <c r="JU2" i="15"/>
  <c r="JV2" i="15"/>
  <c r="JW2" i="15"/>
  <c r="JX2" i="15"/>
  <c r="JY2" i="15"/>
  <c r="JZ2" i="15"/>
  <c r="KA2" i="15"/>
  <c r="KB2" i="15"/>
  <c r="KC2" i="15"/>
  <c r="KD2" i="15"/>
  <c r="KE2" i="15"/>
  <c r="KF2" i="15"/>
  <c r="KG2" i="15"/>
  <c r="KH2" i="15"/>
  <c r="KI2" i="15"/>
  <c r="KJ2" i="15"/>
  <c r="KK2" i="15"/>
  <c r="KL2" i="15"/>
  <c r="KM2" i="15"/>
  <c r="KN2" i="15"/>
  <c r="KO2" i="15"/>
  <c r="KP2" i="15"/>
  <c r="KQ2" i="15"/>
  <c r="KR2" i="15"/>
  <c r="AA2" i="15" l="1"/>
  <c r="AB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D3" i="15"/>
  <c r="D4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CU2" i="12"/>
  <c r="CT2" i="12"/>
  <c r="CS2" i="12"/>
  <c r="CR2" i="12"/>
  <c r="CQ2" i="12"/>
  <c r="CP2" i="12"/>
  <c r="CO2" i="12"/>
  <c r="CN2" i="12"/>
  <c r="CM2" i="12"/>
  <c r="CL2" i="12"/>
  <c r="CK2" i="12"/>
  <c r="CJ2" i="12"/>
  <c r="CI2" i="12"/>
  <c r="CH2" i="12"/>
  <c r="CG2" i="12"/>
  <c r="CF2" i="12"/>
  <c r="CE2" i="12"/>
  <c r="CD2" i="12"/>
  <c r="CC2" i="12"/>
  <c r="CB2" i="12"/>
  <c r="CA2" i="12"/>
  <c r="BZ2" i="12"/>
  <c r="BY2" i="12"/>
  <c r="A114" i="12" l="1"/>
  <c r="A113" i="12"/>
  <c r="A112" i="12"/>
  <c r="A111" i="12"/>
  <c r="A110" i="12"/>
  <c r="A109" i="12"/>
  <c r="A108" i="12"/>
  <c r="A107" i="12"/>
  <c r="A105" i="12"/>
  <c r="A104" i="12"/>
  <c r="A103" i="12"/>
  <c r="A102" i="12"/>
  <c r="A101" i="12"/>
  <c r="A106" i="12"/>
  <c r="A100" i="12"/>
  <c r="A99" i="12"/>
  <c r="A95" i="12"/>
  <c r="A97" i="12"/>
  <c r="A96" i="12"/>
  <c r="A98" i="12"/>
  <c r="A93" i="12"/>
  <c r="A92" i="12"/>
  <c r="A91" i="12"/>
  <c r="A90" i="12"/>
  <c r="A89" i="12"/>
  <c r="A88" i="12"/>
  <c r="A87" i="12"/>
  <c r="A86" i="12"/>
  <c r="A85" i="12"/>
  <c r="A84" i="12"/>
  <c r="A94" i="12"/>
  <c r="A83" i="12"/>
  <c r="A82" i="12"/>
  <c r="A81" i="12"/>
  <c r="A79" i="12"/>
  <c r="A78" i="12"/>
  <c r="A77" i="12"/>
  <c r="A76" i="12"/>
  <c r="A80" i="12"/>
  <c r="A74" i="12"/>
  <c r="A75" i="12"/>
  <c r="A73" i="12"/>
  <c r="A69" i="12"/>
  <c r="A70" i="12"/>
  <c r="A71" i="12"/>
  <c r="A68" i="12"/>
  <c r="A67" i="12"/>
  <c r="A66" i="12"/>
  <c r="A65" i="12"/>
  <c r="A64" i="12"/>
  <c r="A63" i="12"/>
  <c r="A62" i="12"/>
  <c r="A61" i="12"/>
  <c r="A60" i="12"/>
  <c r="A59" i="12"/>
  <c r="A65" i="15" l="1"/>
  <c r="A65" i="13"/>
  <c r="A68" i="15"/>
  <c r="A68" i="13"/>
  <c r="A75" i="15"/>
  <c r="A75" i="13"/>
  <c r="A99" i="15"/>
  <c r="A99" i="13"/>
  <c r="A102" i="15"/>
  <c r="A102" i="13"/>
  <c r="A107" i="15"/>
  <c r="A107" i="13"/>
  <c r="A111" i="15"/>
  <c r="A111" i="13"/>
  <c r="A66" i="15"/>
  <c r="A66" i="13"/>
  <c r="A71" i="15"/>
  <c r="A71" i="13"/>
  <c r="A74" i="15"/>
  <c r="A74" i="13"/>
  <c r="A76" i="15"/>
  <c r="A76" i="13"/>
  <c r="A78" i="15"/>
  <c r="A78" i="13"/>
  <c r="A81" i="15"/>
  <c r="A81" i="13"/>
  <c r="A83" i="15"/>
  <c r="A83" i="13"/>
  <c r="A84" i="15"/>
  <c r="A84" i="13"/>
  <c r="A86" i="15"/>
  <c r="A86" i="13"/>
  <c r="A88" i="15"/>
  <c r="A88" i="13"/>
  <c r="A90" i="15"/>
  <c r="A90" i="13"/>
  <c r="A92" i="15"/>
  <c r="A92" i="13"/>
  <c r="A98" i="15"/>
  <c r="A98" i="13"/>
  <c r="A97" i="15"/>
  <c r="A97" i="13"/>
  <c r="A100" i="15"/>
  <c r="A100" i="13"/>
  <c r="A103" i="15"/>
  <c r="A103" i="13"/>
  <c r="A108" i="15"/>
  <c r="A108" i="13"/>
  <c r="A112" i="15"/>
  <c r="A112" i="13"/>
  <c r="A59" i="15"/>
  <c r="A59" i="13"/>
  <c r="A60" i="15"/>
  <c r="A60" i="13"/>
  <c r="A62" i="15"/>
  <c r="A62" i="13"/>
  <c r="A70" i="15"/>
  <c r="A70" i="13"/>
  <c r="A106" i="15"/>
  <c r="A106" i="13"/>
  <c r="A104" i="15"/>
  <c r="A104" i="13"/>
  <c r="A109" i="15"/>
  <c r="A109" i="13"/>
  <c r="A113" i="15"/>
  <c r="A113" i="13"/>
  <c r="A61" i="15"/>
  <c r="A61" i="13"/>
  <c r="A63" i="15"/>
  <c r="A63" i="13"/>
  <c r="A64" i="15"/>
  <c r="A64" i="13"/>
  <c r="A67" i="15"/>
  <c r="A67" i="13"/>
  <c r="A69" i="15"/>
  <c r="A69" i="13"/>
  <c r="A73" i="15"/>
  <c r="A73" i="13"/>
  <c r="A80" i="15"/>
  <c r="A80" i="13"/>
  <c r="A77" i="15"/>
  <c r="A77" i="13"/>
  <c r="A79" i="15"/>
  <c r="A79" i="13"/>
  <c r="A82" i="15"/>
  <c r="A82" i="13"/>
  <c r="A94" i="15"/>
  <c r="A94" i="13"/>
  <c r="A85" i="15"/>
  <c r="A85" i="13"/>
  <c r="A87" i="15"/>
  <c r="A87" i="13"/>
  <c r="A89" i="15"/>
  <c r="A89" i="13"/>
  <c r="A91" i="15"/>
  <c r="A91" i="13"/>
  <c r="A93" i="15"/>
  <c r="A93" i="13"/>
  <c r="A96" i="15"/>
  <c r="A96" i="13"/>
  <c r="A95" i="15"/>
  <c r="A95" i="13"/>
  <c r="A101" i="15"/>
  <c r="A101" i="13"/>
  <c r="A105" i="15"/>
  <c r="A105" i="13"/>
  <c r="A110" i="15"/>
  <c r="A110" i="13"/>
  <c r="A114" i="15"/>
  <c r="A114" i="13"/>
  <c r="BX2" i="12"/>
  <c r="BW2" i="12"/>
  <c r="BV2" i="12"/>
  <c r="BU2" i="12"/>
  <c r="BT2" i="12"/>
  <c r="BS2" i="12"/>
  <c r="BR2" i="12"/>
  <c r="BQ2" i="12"/>
  <c r="BP2" i="12"/>
  <c r="BO2" i="12"/>
  <c r="BN2" i="12"/>
  <c r="BM2" i="12"/>
  <c r="BL2" i="12"/>
  <c r="BK2" i="12"/>
  <c r="BJ2" i="12"/>
  <c r="BI2" i="12"/>
  <c r="BH2" i="12"/>
  <c r="BG2" i="12"/>
  <c r="BF2" i="12"/>
  <c r="BE2" i="12"/>
  <c r="BD2" i="12"/>
  <c r="BC2" i="12"/>
  <c r="BB2" i="12"/>
  <c r="BA2" i="12" l="1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E2" i="12" l="1"/>
  <c r="F2" i="12"/>
  <c r="G2" i="12"/>
  <c r="H2" i="12"/>
  <c r="I2" i="12"/>
  <c r="J2" i="12"/>
  <c r="K2" i="12"/>
  <c r="L2" i="12"/>
  <c r="M2" i="12"/>
  <c r="N2" i="12"/>
  <c r="O2" i="12"/>
  <c r="P2" i="12"/>
  <c r="D2" i="12"/>
  <c r="AP2" i="14" l="1"/>
  <c r="AO2" i="14"/>
  <c r="AN2" i="14"/>
  <c r="AM2" i="14"/>
  <c r="AL2" i="14"/>
  <c r="AK2" i="14"/>
  <c r="AJ2" i="14" l="1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S2" i="14"/>
  <c r="T2" i="14"/>
  <c r="U2" i="14"/>
  <c r="P2" i="14"/>
  <c r="Q2" i="14"/>
  <c r="R2" i="14"/>
  <c r="M2" i="14"/>
  <c r="N2" i="14"/>
  <c r="O2" i="14"/>
  <c r="J2" i="14"/>
  <c r="K2" i="14"/>
  <c r="L2" i="14"/>
  <c r="G2" i="14"/>
  <c r="H2" i="14"/>
  <c r="I2" i="14"/>
  <c r="E2" i="14"/>
  <c r="F2" i="14"/>
  <c r="D2" i="14"/>
  <c r="AE42" i="12" l="1"/>
  <c r="A58" i="12" l="1"/>
  <c r="A58" i="13" s="1"/>
  <c r="A57" i="12"/>
  <c r="A57" i="13" s="1"/>
  <c r="A56" i="12"/>
  <c r="A56" i="13" s="1"/>
  <c r="A55" i="12"/>
  <c r="A55" i="13" s="1"/>
  <c r="A54" i="12"/>
  <c r="A54" i="13" s="1"/>
  <c r="A53" i="12"/>
  <c r="A53" i="13" s="1"/>
  <c r="A52" i="12"/>
  <c r="A52" i="13" s="1"/>
  <c r="A51" i="12"/>
  <c r="A51" i="13" s="1"/>
  <c r="A50" i="12"/>
  <c r="A50" i="13" s="1"/>
  <c r="A49" i="12"/>
  <c r="A49" i="13" s="1"/>
  <c r="A48" i="12"/>
  <c r="A48" i="13" s="1"/>
  <c r="A47" i="12"/>
  <c r="A47" i="13" s="1"/>
  <c r="A46" i="12"/>
  <c r="A46" i="13" s="1"/>
  <c r="A45" i="12"/>
  <c r="A45" i="13" s="1"/>
  <c r="A44" i="12"/>
  <c r="A44" i="13" s="1"/>
  <c r="A43" i="12"/>
  <c r="A43" i="13" s="1"/>
  <c r="A42" i="12"/>
  <c r="A42" i="13" s="1"/>
  <c r="A36" i="12"/>
  <c r="A36" i="13" s="1"/>
  <c r="A37" i="12"/>
  <c r="A37" i="13" s="1"/>
  <c r="A38" i="12"/>
  <c r="A38" i="13" s="1"/>
  <c r="A39" i="12"/>
  <c r="A39" i="13" s="1"/>
  <c r="A40" i="12"/>
  <c r="A40" i="13" s="1"/>
  <c r="A41" i="12"/>
  <c r="A41" i="13" s="1"/>
  <c r="A35" i="12"/>
  <c r="A35" i="13" s="1"/>
  <c r="A34" i="12"/>
  <c r="A34" i="13" s="1"/>
  <c r="A33" i="12"/>
  <c r="A33" i="13" s="1"/>
  <c r="A32" i="12"/>
  <c r="A32" i="13" s="1"/>
  <c r="A31" i="12"/>
  <c r="A31" i="13" s="1"/>
  <c r="A30" i="12"/>
  <c r="A30" i="13" s="1"/>
  <c r="A29" i="12"/>
  <c r="A28" i="12"/>
  <c r="A28" i="13" s="1"/>
  <c r="A27" i="12"/>
  <c r="A27" i="14" s="1"/>
  <c r="A26" i="12"/>
  <c r="A26" i="13" s="1"/>
  <c r="A25" i="12"/>
  <c r="A25" i="13" s="1"/>
  <c r="A24" i="12"/>
  <c r="A24" i="13" s="1"/>
  <c r="A23" i="12"/>
  <c r="A23" i="13" s="1"/>
  <c r="A22" i="12"/>
  <c r="A22" i="13" s="1"/>
  <c r="A21" i="12"/>
  <c r="A21" i="13" s="1"/>
  <c r="A20" i="12"/>
  <c r="A20" i="13" s="1"/>
  <c r="A19" i="12"/>
  <c r="A19" i="13" s="1"/>
  <c r="A18" i="12"/>
  <c r="A18" i="13" s="1"/>
  <c r="A17" i="12"/>
  <c r="A17" i="13" s="1"/>
  <c r="A16" i="12"/>
  <c r="A16" i="13" s="1"/>
  <c r="A15" i="12"/>
  <c r="A15" i="13" s="1"/>
  <c r="A14" i="12"/>
  <c r="A14" i="13" s="1"/>
  <c r="A13" i="12"/>
  <c r="A13" i="13" s="1"/>
  <c r="A12" i="12"/>
  <c r="A12" i="13" s="1"/>
  <c r="A11" i="12"/>
  <c r="A11" i="13" s="1"/>
  <c r="A10" i="12"/>
  <c r="A10" i="13" s="1"/>
  <c r="A9" i="12"/>
  <c r="A9" i="13" s="1"/>
  <c r="B114" i="14"/>
  <c r="A114" i="14"/>
  <c r="B113" i="14"/>
  <c r="A113" i="14"/>
  <c r="B112" i="14"/>
  <c r="A112" i="14"/>
  <c r="B111" i="14"/>
  <c r="A111" i="14"/>
  <c r="B110" i="14"/>
  <c r="A110" i="14"/>
  <c r="B109" i="14"/>
  <c r="A109" i="14"/>
  <c r="B108" i="14"/>
  <c r="A108" i="14"/>
  <c r="B107" i="14"/>
  <c r="A107" i="14"/>
  <c r="B106" i="14"/>
  <c r="A106" i="14"/>
  <c r="B105" i="14"/>
  <c r="A105" i="14"/>
  <c r="B104" i="14"/>
  <c r="A104" i="14"/>
  <c r="B103" i="14"/>
  <c r="A103" i="14"/>
  <c r="B102" i="14"/>
  <c r="A102" i="14"/>
  <c r="B101" i="14"/>
  <c r="A101" i="14"/>
  <c r="B100" i="14"/>
  <c r="A100" i="14"/>
  <c r="B99" i="14"/>
  <c r="A99" i="14"/>
  <c r="B98" i="14"/>
  <c r="A98" i="14"/>
  <c r="B97" i="14"/>
  <c r="A97" i="14"/>
  <c r="B96" i="14"/>
  <c r="A96" i="14"/>
  <c r="B95" i="14"/>
  <c r="A95" i="14"/>
  <c r="B94" i="14"/>
  <c r="A94" i="14"/>
  <c r="B93" i="14"/>
  <c r="A93" i="14"/>
  <c r="B92" i="14"/>
  <c r="A92" i="14"/>
  <c r="B91" i="14"/>
  <c r="A91" i="14"/>
  <c r="B90" i="14"/>
  <c r="A90" i="14"/>
  <c r="B89" i="14"/>
  <c r="A89" i="14"/>
  <c r="B88" i="14"/>
  <c r="A88" i="14"/>
  <c r="B87" i="14"/>
  <c r="A87" i="14"/>
  <c r="B86" i="14"/>
  <c r="A86" i="14"/>
  <c r="B85" i="14"/>
  <c r="A85" i="14"/>
  <c r="B84" i="14"/>
  <c r="A84" i="14"/>
  <c r="B83" i="14"/>
  <c r="A83" i="14"/>
  <c r="B82" i="14"/>
  <c r="A82" i="14"/>
  <c r="B81" i="14"/>
  <c r="A81" i="14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B59" i="14"/>
  <c r="A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A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A27" i="15" l="1"/>
  <c r="A27" i="13"/>
  <c r="A29" i="15"/>
  <c r="A29" i="13"/>
  <c r="A40" i="14"/>
  <c r="A40" i="15"/>
  <c r="A38" i="14"/>
  <c r="A38" i="15"/>
  <c r="A36" i="14"/>
  <c r="A36" i="15"/>
  <c r="A9" i="14"/>
  <c r="A9" i="15"/>
  <c r="A11" i="14"/>
  <c r="A11" i="15"/>
  <c r="A13" i="14"/>
  <c r="A13" i="15"/>
  <c r="A15" i="14"/>
  <c r="A15" i="15"/>
  <c r="A17" i="14"/>
  <c r="A17" i="15"/>
  <c r="A19" i="14"/>
  <c r="A19" i="15"/>
  <c r="A21" i="14"/>
  <c r="A21" i="15"/>
  <c r="A23" i="14"/>
  <c r="A23" i="15"/>
  <c r="A25" i="14"/>
  <c r="A25" i="15"/>
  <c r="A31" i="14"/>
  <c r="A31" i="15"/>
  <c r="A33" i="14"/>
  <c r="A33" i="15"/>
  <c r="A35" i="14"/>
  <c r="A35" i="15"/>
  <c r="A43" i="14"/>
  <c r="A43" i="15"/>
  <c r="A45" i="14"/>
  <c r="A45" i="15"/>
  <c r="A47" i="14"/>
  <c r="A47" i="15"/>
  <c r="A49" i="14"/>
  <c r="A49" i="15"/>
  <c r="A51" i="14"/>
  <c r="A51" i="15"/>
  <c r="A53" i="14"/>
  <c r="A53" i="15"/>
  <c r="A55" i="14"/>
  <c r="A55" i="15"/>
  <c r="A57" i="14"/>
  <c r="A57" i="15"/>
  <c r="A41" i="14"/>
  <c r="A41" i="15"/>
  <c r="A39" i="14"/>
  <c r="A39" i="15"/>
  <c r="A37" i="14"/>
  <c r="A37" i="15"/>
  <c r="A10" i="14"/>
  <c r="A10" i="15"/>
  <c r="A12" i="14"/>
  <c r="A12" i="15"/>
  <c r="A14" i="14"/>
  <c r="A14" i="15"/>
  <c r="A16" i="14"/>
  <c r="A16" i="15"/>
  <c r="A18" i="14"/>
  <c r="A18" i="15"/>
  <c r="A20" i="14"/>
  <c r="A20" i="15"/>
  <c r="A22" i="14"/>
  <c r="A22" i="15"/>
  <c r="A24" i="14"/>
  <c r="A24" i="15"/>
  <c r="A26" i="14"/>
  <c r="A26" i="15"/>
  <c r="A28" i="14"/>
  <c r="A28" i="15"/>
  <c r="A30" i="14"/>
  <c r="A30" i="15"/>
  <c r="A32" i="14"/>
  <c r="A32" i="15"/>
  <c r="A34" i="14"/>
  <c r="A34" i="15"/>
  <c r="A42" i="14"/>
  <c r="A42" i="15"/>
  <c r="A44" i="14"/>
  <c r="A44" i="15"/>
  <c r="A46" i="14"/>
  <c r="A46" i="15"/>
  <c r="A48" i="14"/>
  <c r="A48" i="15"/>
  <c r="A50" i="14"/>
  <c r="A50" i="15"/>
  <c r="A52" i="14"/>
  <c r="A52" i="15"/>
  <c r="A54" i="14"/>
  <c r="A54" i="15"/>
  <c r="A56" i="14"/>
  <c r="A56" i="15"/>
  <c r="A58" i="14"/>
  <c r="A58" i="15"/>
  <c r="A8" i="12"/>
  <c r="A8" i="13" s="1"/>
  <c r="A7" i="12"/>
  <c r="A7" i="13" s="1"/>
  <c r="A6" i="12"/>
  <c r="A6" i="13" s="1"/>
  <c r="A5" i="12"/>
  <c r="A5" i="13" s="1"/>
  <c r="A4" i="12"/>
  <c r="A4" i="13" s="1"/>
  <c r="A3" i="12"/>
  <c r="A3" i="13" s="1"/>
  <c r="R58" i="14"/>
  <c r="Q58" i="14"/>
  <c r="P58" i="14"/>
  <c r="P57" i="14"/>
  <c r="R56" i="14"/>
  <c r="Q56" i="14"/>
  <c r="P56" i="14"/>
  <c r="R55" i="14"/>
  <c r="Q55" i="14"/>
  <c r="P55" i="14"/>
  <c r="R54" i="14"/>
  <c r="Q54" i="14"/>
  <c r="P54" i="14"/>
  <c r="R53" i="14"/>
  <c r="Q53" i="14"/>
  <c r="P53" i="14"/>
  <c r="R52" i="14"/>
  <c r="Q52" i="14"/>
  <c r="P52" i="14"/>
  <c r="L58" i="14"/>
  <c r="K58" i="14"/>
  <c r="J58" i="14"/>
  <c r="J57" i="14"/>
  <c r="L56" i="14"/>
  <c r="K56" i="14"/>
  <c r="J56" i="14"/>
  <c r="L55" i="14"/>
  <c r="K55" i="14"/>
  <c r="J55" i="14"/>
  <c r="L54" i="14"/>
  <c r="K54" i="14"/>
  <c r="J54" i="14"/>
  <c r="L53" i="14"/>
  <c r="K53" i="14"/>
  <c r="J53" i="14"/>
  <c r="L52" i="14"/>
  <c r="K52" i="14"/>
  <c r="J52" i="14"/>
  <c r="F58" i="14"/>
  <c r="E58" i="14"/>
  <c r="D58" i="14"/>
  <c r="F56" i="14"/>
  <c r="E56" i="14"/>
  <c r="D56" i="14"/>
  <c r="F55" i="14"/>
  <c r="E55" i="14"/>
  <c r="D55" i="14"/>
  <c r="F54" i="14"/>
  <c r="E54" i="14"/>
  <c r="D54" i="14"/>
  <c r="F53" i="14"/>
  <c r="E53" i="14"/>
  <c r="D53" i="14"/>
  <c r="D57" i="14"/>
  <c r="D52" i="14"/>
  <c r="F52" i="14"/>
  <c r="E52" i="14"/>
  <c r="A3" i="14" l="1"/>
  <c r="A3" i="15"/>
  <c r="A8" i="14"/>
  <c r="A8" i="15"/>
  <c r="A4" i="14"/>
  <c r="A4" i="15"/>
  <c r="A6" i="14"/>
  <c r="A6" i="15"/>
  <c r="A5" i="14"/>
  <c r="A5" i="15"/>
  <c r="A7" i="14"/>
  <c r="A7" i="15"/>
  <c r="BX81" i="12" l="1"/>
  <c r="BX80" i="12"/>
  <c r="BX78" i="12"/>
  <c r="BX83" i="12"/>
  <c r="BX82" i="12"/>
  <c r="BX79" i="12"/>
  <c r="BX77" i="12"/>
  <c r="BX76" i="12"/>
  <c r="AX50" i="12"/>
  <c r="AM41" i="12"/>
  <c r="KN83" i="15" l="1"/>
  <c r="KN82" i="15"/>
  <c r="KH81" i="15"/>
  <c r="KH80" i="15"/>
  <c r="KN79" i="15"/>
  <c r="KH78" i="15"/>
  <c r="KN77" i="15"/>
  <c r="KN76" i="15"/>
  <c r="EZ83" i="15"/>
  <c r="EZ82" i="15"/>
  <c r="ET81" i="15"/>
  <c r="ET80" i="15"/>
  <c r="EZ79" i="15"/>
  <c r="ET78" i="15"/>
  <c r="EZ77" i="15"/>
  <c r="EZ76" i="15"/>
  <c r="EZ5" i="15"/>
  <c r="EZ4" i="15"/>
  <c r="EZ3" i="15"/>
  <c r="N18" i="15"/>
  <c r="Y5" i="15"/>
  <c r="Y4" i="15"/>
  <c r="Y3" i="15"/>
  <c r="N4" i="15"/>
  <c r="N3" i="15"/>
  <c r="FA93" i="15"/>
  <c r="EI76" i="15"/>
  <c r="EI77" i="15"/>
  <c r="EJ78" i="15"/>
  <c r="EI79" i="15"/>
  <c r="EJ80" i="15"/>
  <c r="EJ81" i="15"/>
  <c r="EI82" i="15"/>
  <c r="EI83" i="15"/>
  <c r="EC19" i="15"/>
  <c r="EC18" i="15"/>
  <c r="L18" i="15"/>
  <c r="EK4" i="15"/>
  <c r="EK3" i="15"/>
  <c r="EP8" i="15"/>
  <c r="EC17" i="15"/>
  <c r="EB20" i="15"/>
  <c r="EB5" i="15"/>
  <c r="EB4" i="15"/>
  <c r="EB3" i="15"/>
  <c r="DK81" i="15"/>
  <c r="DK80" i="15"/>
  <c r="DJ82" i="15"/>
  <c r="DJ83" i="15"/>
  <c r="DJ79" i="15"/>
  <c r="DK78" i="15"/>
  <c r="DJ77" i="15"/>
  <c r="DJ76" i="15"/>
  <c r="DM18" i="15"/>
  <c r="DL3" i="15"/>
  <c r="DG4" i="15"/>
  <c r="DG3" i="15"/>
  <c r="U18" i="15"/>
  <c r="J18" i="15"/>
  <c r="DD8" i="15"/>
  <c r="CL81" i="15" l="1"/>
  <c r="CL80" i="15"/>
  <c r="CL78" i="15"/>
  <c r="CL83" i="15"/>
  <c r="CL82" i="15"/>
  <c r="CL79" i="15"/>
  <c r="CL77" i="15"/>
  <c r="CL76" i="15"/>
  <c r="CQ9" i="15"/>
  <c r="CR8" i="15"/>
  <c r="CT4" i="15"/>
  <c r="CT3" i="15"/>
  <c r="CG81" i="15"/>
  <c r="CG80" i="15"/>
  <c r="CG78" i="15"/>
  <c r="CG83" i="15"/>
  <c r="CG82" i="15"/>
  <c r="CG79" i="15"/>
  <c r="CG77" i="15"/>
  <c r="CG76" i="15"/>
  <c r="CF8" i="15"/>
  <c r="CE4" i="15"/>
  <c r="CF3" i="15"/>
  <c r="CE3" i="15"/>
  <c r="AP81" i="15"/>
  <c r="AP80" i="15"/>
  <c r="AP78" i="15"/>
  <c r="AP83" i="15"/>
  <c r="AP82" i="15"/>
  <c r="AP79" i="15"/>
  <c r="AP77" i="15"/>
  <c r="AP76" i="15"/>
  <c r="AU9" i="15"/>
  <c r="AV8" i="15"/>
  <c r="V19" i="15" l="1"/>
  <c r="U19" i="15"/>
  <c r="T19" i="15"/>
  <c r="S19" i="15"/>
  <c r="P19" i="15"/>
  <c r="O19" i="15"/>
  <c r="Y18" i="15"/>
  <c r="W18" i="15"/>
  <c r="X11" i="15"/>
  <c r="V11" i="15"/>
  <c r="T11" i="15"/>
  <c r="P11" i="15"/>
  <c r="O11" i="15"/>
  <c r="T10" i="15"/>
  <c r="P10" i="15"/>
  <c r="O10" i="15"/>
  <c r="T9" i="15"/>
  <c r="P9" i="15"/>
  <c r="O9" i="15"/>
  <c r="X8" i="15"/>
  <c r="V8" i="15"/>
  <c r="T8" i="15"/>
  <c r="S8" i="15"/>
  <c r="P8" i="15"/>
  <c r="O8" i="15"/>
  <c r="W5" i="15"/>
  <c r="X4" i="15"/>
  <c r="V4" i="15"/>
  <c r="W4" i="15" s="1"/>
  <c r="U4" i="15"/>
  <c r="T4" i="15"/>
  <c r="S4" i="15"/>
  <c r="P4" i="15"/>
  <c r="O4" i="15"/>
  <c r="V3" i="15"/>
  <c r="X3" i="15" s="1"/>
  <c r="U3" i="15"/>
  <c r="T3" i="15"/>
  <c r="S3" i="15"/>
  <c r="P3" i="15"/>
  <c r="O3" i="15"/>
  <c r="N5" i="15"/>
  <c r="L5" i="15"/>
  <c r="I10" i="15"/>
  <c r="I9" i="15"/>
  <c r="J19" i="15"/>
  <c r="I19" i="15"/>
  <c r="J4" i="15"/>
  <c r="I4" i="15"/>
  <c r="J3" i="15"/>
  <c r="W19" i="15" l="1"/>
  <c r="Y19" i="15"/>
  <c r="W3" i="15"/>
  <c r="AD83" i="15" l="1"/>
  <c r="AD82" i="15"/>
  <c r="AD81" i="15"/>
  <c r="AD80" i="15"/>
  <c r="AD79" i="15"/>
  <c r="AD78" i="15"/>
  <c r="AD77" i="15"/>
  <c r="AD76" i="15"/>
  <c r="KO93" i="15"/>
  <c r="KO87" i="15"/>
  <c r="KO86" i="15"/>
  <c r="KO85" i="15"/>
  <c r="KO84" i="15"/>
  <c r="LA94" i="15"/>
  <c r="KY94" i="15"/>
  <c r="LB106" i="15"/>
  <c r="LB105" i="15"/>
  <c r="LB104" i="15"/>
  <c r="LB102" i="15"/>
  <c r="LB101" i="15"/>
  <c r="LB100" i="15"/>
  <c r="LA92" i="15"/>
  <c r="LA91" i="15"/>
  <c r="LA90" i="15"/>
  <c r="LA89" i="15"/>
  <c r="LA88" i="15"/>
  <c r="KZ106" i="15"/>
  <c r="KZ105" i="15"/>
  <c r="KZ104" i="15"/>
  <c r="KZ102" i="15"/>
  <c r="KZ101" i="15"/>
  <c r="KZ100" i="15"/>
  <c r="KY92" i="15"/>
  <c r="KY91" i="15"/>
  <c r="KY90" i="15"/>
  <c r="KY89" i="15"/>
  <c r="KY88" i="15"/>
  <c r="AW94" i="13" l="1"/>
  <c r="AW92" i="13"/>
  <c r="AW91" i="13"/>
  <c r="AW90" i="13"/>
  <c r="AW89" i="13"/>
  <c r="AW88" i="13"/>
  <c r="BE94" i="13"/>
  <c r="BE92" i="13"/>
  <c r="BE91" i="13"/>
  <c r="BE90" i="13"/>
  <c r="BE89" i="13"/>
  <c r="BE88" i="13"/>
  <c r="BA94" i="13"/>
  <c r="BA92" i="13"/>
  <c r="BA91" i="13"/>
  <c r="BA90" i="13"/>
  <c r="BA89" i="13"/>
  <c r="BA88" i="13"/>
  <c r="BI94" i="13"/>
  <c r="BI92" i="13"/>
  <c r="BI91" i="13"/>
  <c r="BI90" i="13"/>
  <c r="BI89" i="13"/>
  <c r="BI88" i="13"/>
  <c r="AA94" i="15" l="1"/>
  <c r="AA92" i="15"/>
  <c r="AA91" i="15"/>
  <c r="AA90" i="15"/>
  <c r="AA89" i="15"/>
  <c r="AA88" i="15"/>
  <c r="K19" i="15" l="1"/>
  <c r="H19" i="15"/>
  <c r="E19" i="15"/>
  <c r="D19" i="15"/>
  <c r="M11" i="15"/>
  <c r="K11" i="15"/>
  <c r="I11" i="15"/>
  <c r="E11" i="15"/>
  <c r="D11" i="15"/>
  <c r="E10" i="15"/>
  <c r="D10" i="15"/>
  <c r="AI9" i="15"/>
  <c r="E9" i="15"/>
  <c r="D9" i="15"/>
  <c r="DR8" i="15"/>
  <c r="AJ8" i="15"/>
  <c r="M8" i="15"/>
  <c r="K8" i="15"/>
  <c r="I8" i="15"/>
  <c r="H8" i="15"/>
  <c r="E8" i="15"/>
  <c r="D8" i="15"/>
  <c r="DL4" i="15"/>
  <c r="AX4" i="15"/>
  <c r="AL4" i="15"/>
  <c r="K4" i="15"/>
  <c r="H4" i="15"/>
  <c r="E4" i="15"/>
  <c r="AX3" i="15"/>
  <c r="AL3" i="15"/>
  <c r="K3" i="15"/>
  <c r="I3" i="15"/>
  <c r="H3" i="15"/>
  <c r="E3" i="15"/>
  <c r="L83" i="14"/>
  <c r="K83" i="14"/>
  <c r="J83" i="14"/>
  <c r="F83" i="14"/>
  <c r="E83" i="14"/>
  <c r="D83" i="14"/>
  <c r="L82" i="14"/>
  <c r="K82" i="14"/>
  <c r="J82" i="14"/>
  <c r="F82" i="14"/>
  <c r="E82" i="14"/>
  <c r="D82" i="14"/>
  <c r="L81" i="14"/>
  <c r="K81" i="14"/>
  <c r="J81" i="14"/>
  <c r="F81" i="14"/>
  <c r="E81" i="14"/>
  <c r="D81" i="14"/>
  <c r="L80" i="14"/>
  <c r="K80" i="14"/>
  <c r="J80" i="14"/>
  <c r="F80" i="14"/>
  <c r="E80" i="14"/>
  <c r="D80" i="14"/>
  <c r="L79" i="14"/>
  <c r="K79" i="14"/>
  <c r="J79" i="14"/>
  <c r="F79" i="14"/>
  <c r="E79" i="14"/>
  <c r="D79" i="14"/>
  <c r="L78" i="14"/>
  <c r="K78" i="14"/>
  <c r="J78" i="14"/>
  <c r="F78" i="14"/>
  <c r="E78" i="14"/>
  <c r="D78" i="14"/>
  <c r="L77" i="14"/>
  <c r="K77" i="14"/>
  <c r="J77" i="14"/>
  <c r="F77" i="14"/>
  <c r="E77" i="14"/>
  <c r="D77" i="14"/>
  <c r="L76" i="14"/>
  <c r="K76" i="14"/>
  <c r="J76" i="14"/>
  <c r="F76" i="14"/>
  <c r="E76" i="14"/>
  <c r="D76" i="14"/>
  <c r="AO55" i="14"/>
  <c r="AN55" i="14"/>
  <c r="AO51" i="14"/>
  <c r="AO50" i="14"/>
  <c r="AO47" i="14"/>
  <c r="AO46" i="14"/>
  <c r="AN42" i="14"/>
  <c r="AN41" i="14"/>
  <c r="AN38" i="14"/>
  <c r="AN37" i="14"/>
  <c r="AL23" i="14"/>
  <c r="AK23" i="14"/>
  <c r="AL16" i="14"/>
  <c r="AK16" i="14"/>
  <c r="BW103" i="12"/>
  <c r="BL103" i="12"/>
  <c r="BW99" i="12"/>
  <c r="BL99" i="12"/>
  <c r="BW93" i="12"/>
  <c r="BL93" i="12"/>
  <c r="BW87" i="12"/>
  <c r="BL87" i="12"/>
  <c r="BW86" i="12"/>
  <c r="BL86" i="12"/>
  <c r="BW85" i="12"/>
  <c r="BL85" i="12"/>
  <c r="BW84" i="12"/>
  <c r="BL84" i="12"/>
  <c r="BK83" i="12"/>
  <c r="BI83" i="12"/>
  <c r="BB83" i="12"/>
  <c r="BK82" i="12"/>
  <c r="BI82" i="12"/>
  <c r="BB82" i="12"/>
  <c r="BK81" i="12"/>
  <c r="BI81" i="12"/>
  <c r="BB81" i="12"/>
  <c r="BK80" i="12"/>
  <c r="BI80" i="12"/>
  <c r="BB80" i="12"/>
  <c r="BK79" i="12"/>
  <c r="BI79" i="12"/>
  <c r="BB79" i="12"/>
  <c r="BK78" i="12"/>
  <c r="BI78" i="12"/>
  <c r="BB78" i="12"/>
  <c r="BK77" i="12"/>
  <c r="BI77" i="12"/>
  <c r="BB77" i="12"/>
  <c r="BK76" i="12"/>
  <c r="BI76" i="12"/>
  <c r="BB76" i="12"/>
  <c r="AZ51" i="12"/>
  <c r="AW51" i="12"/>
  <c r="AV51" i="12"/>
  <c r="AT51" i="12"/>
  <c r="AP51" i="12"/>
  <c r="AW50" i="12"/>
  <c r="AV50" i="12"/>
  <c r="AQ50" i="12"/>
  <c r="AP50" i="12"/>
  <c r="AZ49" i="12"/>
  <c r="AW49" i="12"/>
  <c r="AQ49" i="12"/>
  <c r="AP49" i="12"/>
  <c r="AO42" i="12"/>
  <c r="AL42" i="12"/>
  <c r="AK42" i="12"/>
  <c r="AI42" i="12"/>
  <c r="AL41" i="12"/>
  <c r="AK41" i="12"/>
  <c r="AF41" i="12"/>
  <c r="AE41" i="12"/>
  <c r="AO40" i="12"/>
  <c r="AL40" i="12"/>
  <c r="AF40" i="12"/>
  <c r="AE40" i="12"/>
  <c r="D33" i="12"/>
  <c r="O25" i="12"/>
  <c r="N25" i="12"/>
  <c r="M25" i="12"/>
  <c r="L25" i="12"/>
  <c r="K25" i="12"/>
  <c r="J25" i="12"/>
  <c r="I25" i="12"/>
  <c r="H25" i="12"/>
  <c r="F25" i="12"/>
  <c r="D25" i="12"/>
  <c r="O16" i="12"/>
  <c r="N16" i="12"/>
  <c r="M16" i="12"/>
  <c r="L16" i="12"/>
  <c r="K16" i="12"/>
  <c r="J16" i="12"/>
  <c r="I16" i="12"/>
  <c r="H16" i="12"/>
  <c r="F16" i="12"/>
  <c r="D16" i="12"/>
  <c r="BV10" i="12"/>
  <c r="BT10" i="12"/>
  <c r="BQ10" i="12"/>
  <c r="BP10" i="12"/>
  <c r="BO10" i="12"/>
  <c r="BN10" i="12"/>
  <c r="BM10" i="12"/>
  <c r="BK10" i="12"/>
  <c r="BI10" i="12"/>
  <c r="BF10" i="12"/>
  <c r="BE10" i="12"/>
  <c r="BD10" i="12"/>
  <c r="BC10" i="12"/>
  <c r="BB10" i="12"/>
  <c r="BV8" i="12"/>
  <c r="BT8" i="12"/>
  <c r="BQ8" i="12"/>
  <c r="BP8" i="12"/>
  <c r="BO8" i="12"/>
  <c r="BN8" i="12"/>
  <c r="BM8" i="12"/>
  <c r="BK8" i="12"/>
  <c r="BI8" i="12"/>
  <c r="BF8" i="12"/>
  <c r="BE8" i="12"/>
  <c r="BD8" i="12"/>
  <c r="BC8" i="12"/>
  <c r="BB8" i="12"/>
  <c r="O8" i="12"/>
  <c r="N8" i="12"/>
  <c r="M8" i="12"/>
  <c r="L8" i="12"/>
  <c r="K8" i="12"/>
  <c r="J8" i="12"/>
  <c r="I8" i="12"/>
  <c r="H8" i="12"/>
  <c r="F8" i="12"/>
  <c r="D8" i="12"/>
  <c r="O5" i="12"/>
  <c r="N5" i="12"/>
  <c r="M5" i="12"/>
  <c r="L5" i="12"/>
  <c r="K5" i="12"/>
  <c r="J5" i="12"/>
  <c r="I5" i="12"/>
  <c r="H5" i="12"/>
  <c r="F5" i="12"/>
  <c r="D5" i="12"/>
  <c r="M4" i="15" l="1"/>
  <c r="L4" i="15"/>
  <c r="L3" i="15"/>
  <c r="M3" i="15"/>
  <c r="N19" i="15"/>
  <c r="L19" i="15"/>
</calcChain>
</file>

<file path=xl/sharedStrings.xml><?xml version="1.0" encoding="utf-8"?>
<sst xmlns="http://schemas.openxmlformats.org/spreadsheetml/2006/main" count="811" uniqueCount="789">
  <si>
    <t>Name of the indicator</t>
  </si>
  <si>
    <t>IndicatorID</t>
  </si>
  <si>
    <t>AEP name</t>
  </si>
  <si>
    <t>AEP_ID</t>
  </si>
  <si>
    <t>C.1.1</t>
  </si>
  <si>
    <t>C.1.2</t>
  </si>
  <si>
    <t>C.1.3</t>
  </si>
  <si>
    <t>C.2.1</t>
  </si>
  <si>
    <t>C.2.2</t>
  </si>
  <si>
    <t>C.2.3</t>
  </si>
  <si>
    <t>C.3.1</t>
  </si>
  <si>
    <t>C.3.2</t>
  </si>
  <si>
    <t>C.4.1</t>
  </si>
  <si>
    <t>C.4.2</t>
  </si>
  <si>
    <t>C.5.1</t>
  </si>
  <si>
    <t>C.5.2</t>
  </si>
  <si>
    <t>C.5.3</t>
  </si>
  <si>
    <t>C.5.4</t>
  </si>
  <si>
    <t>C.6.1</t>
  </si>
  <si>
    <t>C.6.2</t>
  </si>
  <si>
    <t>C.6.3</t>
  </si>
  <si>
    <t>C.7.1</t>
  </si>
  <si>
    <t>C.7.2</t>
  </si>
  <si>
    <t>C.7.3</t>
  </si>
  <si>
    <t>C.7.4</t>
  </si>
  <si>
    <t>C.8.1</t>
  </si>
  <si>
    <t>C.8.2</t>
  </si>
  <si>
    <t>C.9.1</t>
  </si>
  <si>
    <t>C.9.2</t>
  </si>
  <si>
    <t>C.9.3</t>
  </si>
  <si>
    <t>C.10.1</t>
  </si>
  <si>
    <t>C.10.2</t>
  </si>
  <si>
    <t>C.10.3</t>
  </si>
  <si>
    <t>C.11.1</t>
  </si>
  <si>
    <t>C.11.2</t>
  </si>
  <si>
    <t>C.12.1</t>
  </si>
  <si>
    <t>C.12.2</t>
  </si>
  <si>
    <t>C.12.3</t>
  </si>
  <si>
    <t>C.12.4</t>
  </si>
  <si>
    <t>C.12.5</t>
  </si>
  <si>
    <t>C.12.6</t>
  </si>
  <si>
    <t>C.12.7</t>
  </si>
  <si>
    <t>C.12.8</t>
  </si>
  <si>
    <t>C.12.9</t>
  </si>
  <si>
    <t>C.13.1</t>
  </si>
  <si>
    <t>C.13.2</t>
  </si>
  <si>
    <t>C.13.3</t>
  </si>
  <si>
    <t>C.13.4</t>
  </si>
  <si>
    <t>C.13.5</t>
  </si>
  <si>
    <t>C.13.6</t>
  </si>
  <si>
    <t>C.13.7</t>
  </si>
  <si>
    <t>C.13.8</t>
  </si>
  <si>
    <t>C.13.9</t>
  </si>
  <si>
    <t>C.14.1</t>
  </si>
  <si>
    <t>C.14.2</t>
  </si>
  <si>
    <t>C.14.3</t>
  </si>
  <si>
    <t>C.14.4</t>
  </si>
  <si>
    <t>C.14.5</t>
  </si>
  <si>
    <t>E.1.1</t>
  </si>
  <si>
    <t>E.1.2</t>
  </si>
  <si>
    <t>E.1.3</t>
  </si>
  <si>
    <t>G.1.1</t>
  </si>
  <si>
    <t>G.1.2</t>
  </si>
  <si>
    <t>A.1.1</t>
  </si>
  <si>
    <t>A.1.2</t>
  </si>
  <si>
    <t>A.1.3</t>
  </si>
  <si>
    <t>A.2.1</t>
  </si>
  <si>
    <t>A.2.2</t>
  </si>
  <si>
    <t>A.2.3</t>
  </si>
  <si>
    <t>A.2.4</t>
  </si>
  <si>
    <t>A.2.5</t>
  </si>
  <si>
    <t>A.3.1</t>
  </si>
  <si>
    <t>A.3.2</t>
  </si>
  <si>
    <t>A.3.3</t>
  </si>
  <si>
    <t>A.4.1</t>
  </si>
  <si>
    <t>A.4.2</t>
  </si>
  <si>
    <t>A.4.3</t>
  </si>
  <si>
    <t>A.4.4</t>
  </si>
  <si>
    <t>A.4.5</t>
  </si>
  <si>
    <t>A.5.1</t>
  </si>
  <si>
    <t>A.5.2</t>
  </si>
  <si>
    <t>A.5.3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</si>
  <si>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</si>
  <si>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</si>
  <si>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</si>
  <si>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</si>
  <si>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</si>
  <si>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</si>
  <si>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</si>
  <si>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</si>
  <si>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A.6.9</t>
  </si>
  <si>
    <t>A.6.10</t>
  </si>
  <si>
    <t>A.6.11</t>
  </si>
  <si>
    <t>A.7.1</t>
  </si>
  <si>
    <t>A.7.2</t>
  </si>
  <si>
    <t>A.7.3</t>
  </si>
  <si>
    <t>A.7.4</t>
  </si>
  <si>
    <t>A.8.1</t>
  </si>
  <si>
    <t>A.8.2</t>
  </si>
  <si>
    <t>A.8.3</t>
  </si>
  <si>
    <t>A.8.4</t>
  </si>
  <si>
    <t>A.8.5</t>
  </si>
  <si>
    <t>A.8.6</t>
  </si>
  <si>
    <t>A.8.7</t>
  </si>
  <si>
    <t>A.8.8</t>
  </si>
  <si>
    <t>A.9.1</t>
  </si>
  <si>
    <t>A.9.2</t>
  </si>
  <si>
    <t>A.9.3</t>
  </si>
  <si>
    <t>A.10.1</t>
  </si>
  <si>
    <t>A.10.2</t>
  </si>
  <si>
    <t>A.10.3</t>
  </si>
  <si>
    <t>A.11.1</t>
  </si>
  <si>
    <t>A.11.2</t>
  </si>
  <si>
    <t>Number of culled cows sold</t>
  </si>
  <si>
    <t>Number of bulls and steers sold</t>
  </si>
  <si>
    <t>Number of calves sold</t>
  </si>
  <si>
    <t>Number of non pregnant heifers sold</t>
  </si>
  <si>
    <t>Number of pregnant heifers sold</t>
  </si>
  <si>
    <t>Cow culling rate</t>
  </si>
  <si>
    <t>Heifer conception rate</t>
  </si>
  <si>
    <t>Cow calving rate</t>
  </si>
  <si>
    <t>Calf mortality</t>
  </si>
  <si>
    <t>Young cattle mortality</t>
  </si>
  <si>
    <t>Option for herd size</t>
  </si>
  <si>
    <t>Meat of culled cows</t>
  </si>
  <si>
    <t>Meat of bulls and steers</t>
  </si>
  <si>
    <t>Meat of non pregnant heifers</t>
  </si>
  <si>
    <t>Fat content</t>
  </si>
  <si>
    <t>Protein content</t>
  </si>
  <si>
    <t>Somatic cells count</t>
  </si>
  <si>
    <t>Animal welfare of cows</t>
  </si>
  <si>
    <t>Animal welfare of heifers</t>
  </si>
  <si>
    <t>Animal welfare of bulls</t>
  </si>
  <si>
    <t>Animal welfare of steers</t>
  </si>
  <si>
    <t>Antibiotic use for cows</t>
  </si>
  <si>
    <t>Antibiotic use for heifers</t>
  </si>
  <si>
    <t>Antibiotic use for bulls</t>
  </si>
  <si>
    <t>Antibiotic use for steers</t>
  </si>
  <si>
    <t>Anthelmintic use for cows</t>
  </si>
  <si>
    <t>Anthelmintic use for heifers</t>
  </si>
  <si>
    <t>Anthelmintic use for bulls</t>
  </si>
  <si>
    <t>Anthelmintic use for steers</t>
  </si>
  <si>
    <t>Water demand for cows</t>
  </si>
  <si>
    <t>Water demand for heifers</t>
  </si>
  <si>
    <t>Water demand for pregnant heifers</t>
  </si>
  <si>
    <t>Water demand for bulls and steers</t>
  </si>
  <si>
    <t>Water demand for calves</t>
  </si>
  <si>
    <t>Water demand for other uses</t>
  </si>
  <si>
    <t>Straw demand for cows</t>
  </si>
  <si>
    <t>Straw demand for heifers</t>
  </si>
  <si>
    <t>Straw demand for bulls</t>
  </si>
  <si>
    <t>Straw demand for steers</t>
  </si>
  <si>
    <t>Manure production of cows</t>
  </si>
  <si>
    <t>Manure production of heifers</t>
  </si>
  <si>
    <t>Manure production of bulls</t>
  </si>
  <si>
    <t>Manure production of steers</t>
  </si>
  <si>
    <t>Slurry production of cows</t>
  </si>
  <si>
    <t>Slurry production of heifers</t>
  </si>
  <si>
    <t>Slurry production of bulls</t>
  </si>
  <si>
    <t>Slurry production of steers</t>
  </si>
  <si>
    <t>Number of days of grazing</t>
  </si>
  <si>
    <t>Maize silage demand for cows</t>
  </si>
  <si>
    <t>Maize silage demand for heifers</t>
  </si>
  <si>
    <t>Maize silage demand for bulls</t>
  </si>
  <si>
    <t>Maize silage demand for steers</t>
  </si>
  <si>
    <t>Grass silage demand for cows</t>
  </si>
  <si>
    <t>Grass silage demand for heifers</t>
  </si>
  <si>
    <t>Grass silage demand for bulls</t>
  </si>
  <si>
    <t>Grass silage demand for steers</t>
  </si>
  <si>
    <t>Alfalfa silage demand for cows</t>
  </si>
  <si>
    <t>Alfalfa silage demand for heifers</t>
  </si>
  <si>
    <t>Alfalfa silage demand for bulls</t>
  </si>
  <si>
    <t>Alfalfa silage demand for steers</t>
  </si>
  <si>
    <t>Sorghum silage demand for cows</t>
  </si>
  <si>
    <t>Sorghum silage demand for heifers</t>
  </si>
  <si>
    <t>Sorghum silage demand for bulls</t>
  </si>
  <si>
    <t>Sorghum silage demand for steers</t>
  </si>
  <si>
    <t>Hay demand for cows</t>
  </si>
  <si>
    <t>Hay demand for heifers</t>
  </si>
  <si>
    <t>Hay demand for bulls</t>
  </si>
  <si>
    <t>Hay demand for steers</t>
  </si>
  <si>
    <t>Grazed grass demand for cows</t>
  </si>
  <si>
    <t>Grazed grass demand for heifers</t>
  </si>
  <si>
    <t>Grazed grass demand for bulls</t>
  </si>
  <si>
    <t>Grazed grass demand for steers</t>
  </si>
  <si>
    <t>Barley demand for cows</t>
  </si>
  <si>
    <t>Barley demand for heifers</t>
  </si>
  <si>
    <t>Barley demand for bulls</t>
  </si>
  <si>
    <t>Barley demand for steers</t>
  </si>
  <si>
    <t>RSM demand for cows</t>
  </si>
  <si>
    <t>RSM demand for heifers</t>
  </si>
  <si>
    <t>RSM demand for bulls</t>
  </si>
  <si>
    <t>RSM demand for steers</t>
  </si>
  <si>
    <t>SBM demand for cows</t>
  </si>
  <si>
    <t>SBM demand for heifers</t>
  </si>
  <si>
    <t>SBM demand for bulls</t>
  </si>
  <si>
    <t>SBM demand for steers</t>
  </si>
  <si>
    <t>Faba bean demand for cows</t>
  </si>
  <si>
    <t>Faba bean demand for heifers</t>
  </si>
  <si>
    <t>Faba bean demand for bulls</t>
  </si>
  <si>
    <t>Faba bean demand for steers</t>
  </si>
  <si>
    <t>Wheat demand for cows</t>
  </si>
  <si>
    <t>Wheat demand for heifers</t>
  </si>
  <si>
    <t>Wheat demand for bulls</t>
  </si>
  <si>
    <t>Wheat demand for steers</t>
  </si>
  <si>
    <t>Milk replacer demand for cows</t>
  </si>
  <si>
    <t>Milk replacer demand for heifers</t>
  </si>
  <si>
    <t>Milk replacer demand for bulls</t>
  </si>
  <si>
    <t>Milk replacer demand for steers</t>
  </si>
  <si>
    <t>Milk demand for cows</t>
  </si>
  <si>
    <t>Milk demand for heifers</t>
  </si>
  <si>
    <t>Milk demand for bulls</t>
  </si>
  <si>
    <t>Milk demand for steers</t>
  </si>
  <si>
    <t>Feed straw demand for cows</t>
  </si>
  <si>
    <t>Feed straw demand for heifers</t>
  </si>
  <si>
    <t>Feed straw demand for bulls</t>
  </si>
  <si>
    <t>Feed straw demand for steers</t>
  </si>
  <si>
    <t>Investment capacity</t>
  </si>
  <si>
    <t>Complexity of the system</t>
  </si>
  <si>
    <t>Investment in buildings and agroforestry</t>
  </si>
  <si>
    <t>C.15.1</t>
  </si>
  <si>
    <t>C.15.2</t>
  </si>
  <si>
    <t>Yield PG</t>
  </si>
  <si>
    <t>Natural enemies (UAA1)</t>
  </si>
  <si>
    <t>Natural enemies (UAA2)</t>
  </si>
  <si>
    <t>Natural enemies (PG)</t>
  </si>
  <si>
    <t>Microbial biomass (UAA1)</t>
  </si>
  <si>
    <t>Microbial biomass (UAA2)</t>
  </si>
  <si>
    <t>Microbial biomass (PG)</t>
  </si>
  <si>
    <t>Soil meso-fauna - nematodes (UAA1)</t>
  </si>
  <si>
    <t>Soil meso-fauna - nematodes (UAA2)</t>
  </si>
  <si>
    <t>Soil meso-fauna - nematodes (PG)</t>
  </si>
  <si>
    <t>Earthworm abundance (UAA1)</t>
  </si>
  <si>
    <t>Earthworm abundance (UAA2)</t>
  </si>
  <si>
    <t>Earthworm abundance (PG)</t>
  </si>
  <si>
    <t>Pollinators (UAA1)</t>
  </si>
  <si>
    <t>Pollinators (UAA2)</t>
  </si>
  <si>
    <t>Pollinators (PG)</t>
  </si>
  <si>
    <t>Soil Organic Carbon (SOC) (UAA1)</t>
  </si>
  <si>
    <t>Soil Organic Carbon (SOC) (UAA2)</t>
  </si>
  <si>
    <t>Soil Organic Carbon (SOC) (PG)</t>
  </si>
  <si>
    <t>N content (UAA1)</t>
  </si>
  <si>
    <t>N content (UAA2)</t>
  </si>
  <si>
    <t>N content (PG)</t>
  </si>
  <si>
    <t>P content (UAA1)</t>
  </si>
  <si>
    <t>P content (UAA2)</t>
  </si>
  <si>
    <t>P content (PG)</t>
  </si>
  <si>
    <t>Soil water holding capacity (UAA1)</t>
  </si>
  <si>
    <t>Soil water holding capacity (UAA2)</t>
  </si>
  <si>
    <t>Soil water holding capacity (PG)</t>
  </si>
  <si>
    <t>Soil water infiltration (UAA1)</t>
  </si>
  <si>
    <t>Soil water infiltration (UAA2)</t>
  </si>
  <si>
    <t>Soil water infiltration (PG)</t>
  </si>
  <si>
    <t>Water quality pesticides (UAA1)</t>
  </si>
  <si>
    <t>Water quality pesticides (UAA2)</t>
  </si>
  <si>
    <t>Water quality pesticides (PG)</t>
  </si>
  <si>
    <t>Water quality nitrates (UAA1)</t>
  </si>
  <si>
    <t>Water quality nitrates (UAA2)</t>
  </si>
  <si>
    <t>Water quality nitrates (PG)</t>
  </si>
  <si>
    <t>Yield wheat (grain) (UAA1)</t>
  </si>
  <si>
    <t>Yield wheat (straw) (UAA1)</t>
  </si>
  <si>
    <t>Yield barley (grain) (UAA1)</t>
  </si>
  <si>
    <t>Yield barley (straw) (UAA1)</t>
  </si>
  <si>
    <t>Yield sugar beet (UAA1)</t>
  </si>
  <si>
    <t>Yield potato (UAA1)</t>
  </si>
  <si>
    <t>Yield rapeseed (UAA1)</t>
  </si>
  <si>
    <t>Yield pea (UAA1)</t>
  </si>
  <si>
    <t>Yield faba bean (UAA1)</t>
  </si>
  <si>
    <t>Yield maize (UAA1)</t>
  </si>
  <si>
    <t>Yield alfalfa (UAA1)</t>
  </si>
  <si>
    <t>Yield sorghum (UAA1)</t>
  </si>
  <si>
    <t>Yield TG (UAA1)</t>
  </si>
  <si>
    <t>Yield wheat (grain) (UAA2)</t>
  </si>
  <si>
    <t>Yield wheat (straw) (UAA2)</t>
  </si>
  <si>
    <t>Yield barley (grain) (UAA2)</t>
  </si>
  <si>
    <t>Yield barley (straw) (UAA2)</t>
  </si>
  <si>
    <t>Yield sugar beet (UAA2)</t>
  </si>
  <si>
    <t>Yield potato (UAA2)</t>
  </si>
  <si>
    <t>Yield rapeseed (UAA2)</t>
  </si>
  <si>
    <t>Yield pea (UAA2)</t>
  </si>
  <si>
    <t>Yield faba bean (UAA2)</t>
  </si>
  <si>
    <t>Yield maize (UAA2)</t>
  </si>
  <si>
    <t>Yield alfalfa (UAA2)</t>
  </si>
  <si>
    <t>Yield sorghum (UAA2)</t>
  </si>
  <si>
    <t>Yield TG (UAA2)</t>
  </si>
  <si>
    <t>Area wheat (UAA1)</t>
  </si>
  <si>
    <t>Area barley (UAA1)</t>
  </si>
  <si>
    <t>Area sugar beet (UAA1)</t>
  </si>
  <si>
    <t>Area potato (UAA1)</t>
  </si>
  <si>
    <t>Area rapeseed (UAA1)</t>
  </si>
  <si>
    <t>Area pea (UAA1)</t>
  </si>
  <si>
    <t>Area faba bean (UAA1)</t>
  </si>
  <si>
    <t>Area maize (UAA1)</t>
  </si>
  <si>
    <t>Area alfalfa (UAA1)</t>
  </si>
  <si>
    <t>Area sorghum (UAA1)</t>
  </si>
  <si>
    <t>Area TG (UAA1)</t>
  </si>
  <si>
    <t>Area wheat (UAA2)</t>
  </si>
  <si>
    <t>Area barley (UAA2)</t>
  </si>
  <si>
    <t>Area sugar beet (UAA2)</t>
  </si>
  <si>
    <t>Area potato (UAA2)</t>
  </si>
  <si>
    <t>Area rapeseed (UAA2)</t>
  </si>
  <si>
    <t>Area pea (UAA2)</t>
  </si>
  <si>
    <t>Area faba bean (UAA2)</t>
  </si>
  <si>
    <t>Area maize (UAA2)</t>
  </si>
  <si>
    <t>Area alfalfa (UAA2)</t>
  </si>
  <si>
    <t>Area sorghum (UAA2)</t>
  </si>
  <si>
    <t>Area TG (UAA2)</t>
  </si>
  <si>
    <t>Area PG</t>
  </si>
  <si>
    <t>N supply wheat (UAA1)</t>
  </si>
  <si>
    <t>N supply barley (UAA1)</t>
  </si>
  <si>
    <t>N supply sugar beet (UAA1)</t>
  </si>
  <si>
    <t>N supply potato (UAA1)</t>
  </si>
  <si>
    <t>N supply rapeseed (UAA1)</t>
  </si>
  <si>
    <t>N supply pea (UAA1)</t>
  </si>
  <si>
    <t>N supply faba bean (UAA1)</t>
  </si>
  <si>
    <t>N supply maize (UAA1)</t>
  </si>
  <si>
    <t>N supply alfalfa (UAA1)</t>
  </si>
  <si>
    <t>N supply sorghum (UAA1)</t>
  </si>
  <si>
    <t>N supply TG (UAA1)</t>
  </si>
  <si>
    <t>N supply wheat (UAA2)</t>
  </si>
  <si>
    <t>N supply barley (UAA2)</t>
  </si>
  <si>
    <t>N supply sugar beet (UAA2)</t>
  </si>
  <si>
    <t>N supply potato (UAA2)</t>
  </si>
  <si>
    <t>N supply rapeseed (UAA2)</t>
  </si>
  <si>
    <t>N supply pea (UAA2)</t>
  </si>
  <si>
    <t>N supply faba bean (UAA2)</t>
  </si>
  <si>
    <t>N supply maize (UAA2)</t>
  </si>
  <si>
    <t>N supply alfalfa (UAA2)</t>
  </si>
  <si>
    <t>N supply sorghum (UAA2)</t>
  </si>
  <si>
    <t>N supply TG (UAA2)</t>
  </si>
  <si>
    <t>N supply PG</t>
  </si>
  <si>
    <t>TFI wheat (UAA1)</t>
  </si>
  <si>
    <t>TFI barley (UAA1)</t>
  </si>
  <si>
    <t>TFI sugar beet (UAA1)</t>
  </si>
  <si>
    <t>TFI potato (UAA1)</t>
  </si>
  <si>
    <t>TFI rapeseed (UAA1)</t>
  </si>
  <si>
    <t>TFI pea (UAA1)</t>
  </si>
  <si>
    <t>TFI faba bean (UAA1)</t>
  </si>
  <si>
    <t>TFI maize (UAA1)</t>
  </si>
  <si>
    <t>TFI alfalfa (UAA1)</t>
  </si>
  <si>
    <t>TFI sorghum (UAA1)</t>
  </si>
  <si>
    <t>TFI TG (UAA1)</t>
  </si>
  <si>
    <t>TFI wheat (UAA2)</t>
  </si>
  <si>
    <t>TFI barley (UAA2)</t>
  </si>
  <si>
    <t>TFI sugar beet (UAA2)</t>
  </si>
  <si>
    <t>TFI potato (UAA2)</t>
  </si>
  <si>
    <t>TFI rapeseed (UAA2)</t>
  </si>
  <si>
    <t>TFI pea (UAA2)</t>
  </si>
  <si>
    <t>TFI faba bean (UAA2)</t>
  </si>
  <si>
    <t>TFI maize (UAA2)</t>
  </si>
  <si>
    <t>TFI alfalfa (UAA2)</t>
  </si>
  <si>
    <t>TFI sorghum (UAA2)</t>
  </si>
  <si>
    <t>TFI TG (UAA2)</t>
  </si>
  <si>
    <t>TFI PG</t>
  </si>
  <si>
    <t>Fuel consumption wheat (UAA1)</t>
  </si>
  <si>
    <t>Fuel consumption barley (UAA1)</t>
  </si>
  <si>
    <t>Fuel consumption sugar beet (UAA1)</t>
  </si>
  <si>
    <t>Fuel consumption potato (UAA1)</t>
  </si>
  <si>
    <t>Fuel consumption rapeseed (UAA1)</t>
  </si>
  <si>
    <t>Fuel consumption pea (UAA1)</t>
  </si>
  <si>
    <t>Fuel consumption faba bean (UAA1)</t>
  </si>
  <si>
    <t>Fuel consumption maize (UAA1)</t>
  </si>
  <si>
    <t>Fuel consumption alfalfa (UAA1)</t>
  </si>
  <si>
    <t>Fuel consumption sorghum (UAA1)</t>
  </si>
  <si>
    <t>Fuel consumption TG (UAA1)</t>
  </si>
  <si>
    <t>Fuel consumption wheat (UAA2)</t>
  </si>
  <si>
    <t>Fuel consumption barley (UAA2)</t>
  </si>
  <si>
    <t>Fuel consumption sugar beet (UAA2)</t>
  </si>
  <si>
    <t>Fuel consumption potato (UAA2)</t>
  </si>
  <si>
    <t>Fuel consumption rapeseed (UAA2)</t>
  </si>
  <si>
    <t>Fuel consumption pea (UAA2)</t>
  </si>
  <si>
    <t>Fuel consumption faba bean (UAA2)</t>
  </si>
  <si>
    <t>Fuel consumption maize (UAA2)</t>
  </si>
  <si>
    <t>Fuel consumption alfalfa (UAA2)</t>
  </si>
  <si>
    <t>Fuel consumption sorghum (UAA2)</t>
  </si>
  <si>
    <t>Fuel consumption TG (UAA2)</t>
  </si>
  <si>
    <t>Fuel consumption PG</t>
  </si>
  <si>
    <t>Energy demand for machinery</t>
  </si>
  <si>
    <t>Energy demand for milking operations</t>
  </si>
  <si>
    <t>Work time wheat (UAA1) - Jan</t>
  </si>
  <si>
    <t>Work time wheat (UAA1) - Feb</t>
  </si>
  <si>
    <t>Work time wheat (UAA1) - March</t>
  </si>
  <si>
    <t>Work time wheat (UAA1) - Apr</t>
  </si>
  <si>
    <t>Work time wheat (UAA1) - May</t>
  </si>
  <si>
    <t>Work time wheat (UAA1) - June</t>
  </si>
  <si>
    <t>Work time wheat (UAA1) - July</t>
  </si>
  <si>
    <t>Work time wheat (UAA1) - Aug</t>
  </si>
  <si>
    <t>Work time wheat (UAA1) - Sept</t>
  </si>
  <si>
    <t>Work time wheat (UAA1) - Oct</t>
  </si>
  <si>
    <t>Work time wheat (UAA1) - Nov</t>
  </si>
  <si>
    <t>Work time wheat (UAA1) - Dec</t>
  </si>
  <si>
    <t>Work time barley (UAA1) - Jan</t>
  </si>
  <si>
    <t>Work time barley (UAA1) - Feb</t>
  </si>
  <si>
    <t>Work time barley (UAA1) - March</t>
  </si>
  <si>
    <t>Work time barley (UAA1) - Apr</t>
  </si>
  <si>
    <t>Work time barley (UAA1) - May</t>
  </si>
  <si>
    <t>Work time barley (UAA1) - June</t>
  </si>
  <si>
    <t>Work time barley (UAA1) - July</t>
  </si>
  <si>
    <t>Work time barley (UAA1) - Aug</t>
  </si>
  <si>
    <t>Work time barley (UAA1) - Sept</t>
  </si>
  <si>
    <t>Work time barley (UAA1) - Oct</t>
  </si>
  <si>
    <t>Work time barley (UAA1) - Nov</t>
  </si>
  <si>
    <t>Work time barley (UAA1) - Dec</t>
  </si>
  <si>
    <t>Work time sugar beet (UAA1) - Jan</t>
  </si>
  <si>
    <t>Work time sugar beet (UAA1) - Feb</t>
  </si>
  <si>
    <t>Work time sugar beet (UAA1) - March</t>
  </si>
  <si>
    <t>Work time sugar beet (UAA1) - Apr</t>
  </si>
  <si>
    <t>Work time sugar beet (UAA1) - May</t>
  </si>
  <si>
    <t>Work time sugar beet (UAA1) - June</t>
  </si>
  <si>
    <t>Work time sugar beet (UAA1) - July</t>
  </si>
  <si>
    <t>Work time sugar beet (UAA1) - Aug</t>
  </si>
  <si>
    <t>Work time sugar beet (UAA1) - Sept</t>
  </si>
  <si>
    <t>Work time sugar beet (UAA1) - Oct</t>
  </si>
  <si>
    <t>Work time sugar beet (UAA1) - Nov</t>
  </si>
  <si>
    <t>Work time sugar beet (UAA1) - Dec</t>
  </si>
  <si>
    <t>Work time potato (UAA1) - Jan</t>
  </si>
  <si>
    <t>Work time potato (UAA1) - Feb</t>
  </si>
  <si>
    <t>Work time potato (UAA1) - March</t>
  </si>
  <si>
    <t>Work time potato (UAA1) - Apr</t>
  </si>
  <si>
    <t>Work time potato (UAA1) - May</t>
  </si>
  <si>
    <t>Work time potato (UAA1) - June</t>
  </si>
  <si>
    <t>Work time potato (UAA1) - July</t>
  </si>
  <si>
    <t>Work time potato (UAA1) - Aug</t>
  </si>
  <si>
    <t>Work time potato (UAA1) - Sept</t>
  </si>
  <si>
    <t>Work time potato (UAA1) - Oct</t>
  </si>
  <si>
    <t>Work time potato (UAA1) - Nov</t>
  </si>
  <si>
    <t>Work time potato (UAA1) - Dec</t>
  </si>
  <si>
    <t>Work time rapeseed (UAA1) - Jan</t>
  </si>
  <si>
    <t>Work time rapeseed (UAA1) - Feb</t>
  </si>
  <si>
    <t>Work time rapeseed (UAA1) - March</t>
  </si>
  <si>
    <t>Work time rapeseed (UAA1) - Apr</t>
  </si>
  <si>
    <t>Work time rapeseed (UAA1) - May</t>
  </si>
  <si>
    <t>Work time rapeseed (UAA1) - June</t>
  </si>
  <si>
    <t>Work time rapeseed (UAA1) - July</t>
  </si>
  <si>
    <t>Work time rapeseed (UAA1) - Aug</t>
  </si>
  <si>
    <t>Work time rapeseed (UAA1) - Sept</t>
  </si>
  <si>
    <t>Work time rapeseed (UAA1) - Oct</t>
  </si>
  <si>
    <t>Work time rapeseed (UAA1) - Nov</t>
  </si>
  <si>
    <t>Work time rapeseed (UAA1) - Dec</t>
  </si>
  <si>
    <t>Work time pea (UAA1) - Jan</t>
  </si>
  <si>
    <t>Work time pea (UAA1) - Feb</t>
  </si>
  <si>
    <t>Work time pea (UAA1) - March</t>
  </si>
  <si>
    <t>Work time pea (UAA1) - Apr</t>
  </si>
  <si>
    <t>Work time pea (UAA1) - May</t>
  </si>
  <si>
    <t>Work time pea (UAA1) - June</t>
  </si>
  <si>
    <t>Work time pea (UAA1) - July</t>
  </si>
  <si>
    <t>Work time pea (UAA1) - Aug</t>
  </si>
  <si>
    <t>Work time pea (UAA1) - Sept</t>
  </si>
  <si>
    <t>Work time pea (UAA1) - Oct</t>
  </si>
  <si>
    <t>Work time pea (UAA1) - Nov</t>
  </si>
  <si>
    <t>Work time pea (UAA1) - Dec</t>
  </si>
  <si>
    <t>Work time faba bean (UAA1) - Jan</t>
  </si>
  <si>
    <t>Work time faba bean (UAA1) - Feb</t>
  </si>
  <si>
    <t>Work time faba bean (UAA1) - March</t>
  </si>
  <si>
    <t>Work time faba bean (UAA1) - Apr</t>
  </si>
  <si>
    <t>Work time faba bean (UAA1) - May</t>
  </si>
  <si>
    <t>Work time faba bean (UAA1) - June</t>
  </si>
  <si>
    <t>Work time faba bean (UAA1) - July</t>
  </si>
  <si>
    <t>Work time faba bean (UAA1) - Aug</t>
  </si>
  <si>
    <t>Work time faba bean (UAA1) - Sept</t>
  </si>
  <si>
    <t>Work time faba bean (UAA1) - Oct</t>
  </si>
  <si>
    <t>Work time faba bean (UAA1) - Nov</t>
  </si>
  <si>
    <t>Work time faba bean (UAA1) - Dec</t>
  </si>
  <si>
    <t>Work time maize (UAA1) - Jan</t>
  </si>
  <si>
    <t>Work time maize (UAA1) - Feb</t>
  </si>
  <si>
    <t>Work time maize (UAA1) - March</t>
  </si>
  <si>
    <t>Work time maize (UAA1) - Apr</t>
  </si>
  <si>
    <t>Work time maize (UAA1) - May</t>
  </si>
  <si>
    <t>Work time maize (UAA1) - June</t>
  </si>
  <si>
    <t>Work time maize (UAA1) - July</t>
  </si>
  <si>
    <t>Work time maize (UAA1) - Aug</t>
  </si>
  <si>
    <t>Work time maize (UAA1) - Sept</t>
  </si>
  <si>
    <t>Work time maize (UAA1) - Oct</t>
  </si>
  <si>
    <t>Work time maize (UAA1) - Nov</t>
  </si>
  <si>
    <t>Work time maize (UAA1) - Dec</t>
  </si>
  <si>
    <t>Work time alfalfa (UAA1) - Jan</t>
  </si>
  <si>
    <t>Work time alfalfa (UAA1) - Feb</t>
  </si>
  <si>
    <t>Work time alfalfa (UAA1) - March</t>
  </si>
  <si>
    <t>Work time alfalfa (UAA1) - Apr</t>
  </si>
  <si>
    <t>Work time alfalfa (UAA1) - May</t>
  </si>
  <si>
    <t>Work time alfalfa (UAA1) - June</t>
  </si>
  <si>
    <t>Work time alfalfa (UAA1) - July</t>
  </si>
  <si>
    <t>Work time alfalfa (UAA1) - Aug</t>
  </si>
  <si>
    <t>Work time alfalfa (UAA1) - Sept</t>
  </si>
  <si>
    <t>Work time alfalfa (UAA1) - Oct</t>
  </si>
  <si>
    <t>Work time alfalfa (UAA1) - Nov</t>
  </si>
  <si>
    <t>Work time alfalfa (UAA1) - Dec</t>
  </si>
  <si>
    <t>Work time sorghum (UAA1) - Jan</t>
  </si>
  <si>
    <t>Work time sorghum (UAA1) - Feb</t>
  </si>
  <si>
    <t>Work time sorghum (UAA1) - March</t>
  </si>
  <si>
    <t>Work time sorghum (UAA1) - Apr</t>
  </si>
  <si>
    <t>Work time sorghum (UAA1) - May</t>
  </si>
  <si>
    <t>Work time sorghum (UAA1) - June</t>
  </si>
  <si>
    <t>Work time sorghum (UAA1) - July</t>
  </si>
  <si>
    <t>Work time sorghum (UAA1) - Aug</t>
  </si>
  <si>
    <t>Work time sorghum (UAA1) - Sept</t>
  </si>
  <si>
    <t>Work time sorghum (UAA1) - Oct</t>
  </si>
  <si>
    <t>Work time sorghum (UAA1) - Nov</t>
  </si>
  <si>
    <t>Work time sorghum (UAA1) - Dec</t>
  </si>
  <si>
    <t>Work time TG (UAA1) - Jan</t>
  </si>
  <si>
    <t>Work time TG (UAA1) - Feb</t>
  </si>
  <si>
    <t>Work time TG (UAA1) - March</t>
  </si>
  <si>
    <t>Work time TG (UAA1) - Apr</t>
  </si>
  <si>
    <t>Work time TG (UAA1) - May</t>
  </si>
  <si>
    <t>Work time TG (UAA1) - June</t>
  </si>
  <si>
    <t>Work time TG (UAA1) - July</t>
  </si>
  <si>
    <t>Work time TG (UAA1) - Aug</t>
  </si>
  <si>
    <t>Work time TG (UAA1) - Sept</t>
  </si>
  <si>
    <t>Work time TG (UAA1) - Oct</t>
  </si>
  <si>
    <t>Work time TG (UAA1) - Nov</t>
  </si>
  <si>
    <t>Work time TG (UAA1) - Dec</t>
  </si>
  <si>
    <t>Work time wheat (UAA2) - Jan</t>
  </si>
  <si>
    <t>Work time wheat (UAA2) - Feb</t>
  </si>
  <si>
    <t>Work time wheat (UAA2) - March</t>
  </si>
  <si>
    <t>Work time wheat (UAA2) - Apr</t>
  </si>
  <si>
    <t>Work time wheat (UAA2) - May</t>
  </si>
  <si>
    <t>Work time wheat (UAA2) - June</t>
  </si>
  <si>
    <t>Work time wheat (UAA2) - July</t>
  </si>
  <si>
    <t>Work time wheat (UAA2) - Aug</t>
  </si>
  <si>
    <t>Work time wheat (UAA2) - Sept</t>
  </si>
  <si>
    <t>Work time wheat (UAA2) - Oct</t>
  </si>
  <si>
    <t>Work time wheat (UAA2) - Nov</t>
  </si>
  <si>
    <t>Work time wheat (UAA2) - Dec</t>
  </si>
  <si>
    <t>Work time barley (UAA2) - Jan</t>
  </si>
  <si>
    <t>Work time barley (UAA2) - Feb</t>
  </si>
  <si>
    <t>Work time barley (UAA2) - March</t>
  </si>
  <si>
    <t>Work time barley (UAA2) - Apr</t>
  </si>
  <si>
    <t>Work time barley (UAA2) - May</t>
  </si>
  <si>
    <t>Work time barley (UAA2) - June</t>
  </si>
  <si>
    <t>Work time barley (UAA2) - July</t>
  </si>
  <si>
    <t>Work time barley (UAA2) - Aug</t>
  </si>
  <si>
    <t>Work time barley (UAA2) - Sept</t>
  </si>
  <si>
    <t>Work time barley (UAA2) - Oct</t>
  </si>
  <si>
    <t>Work time barley (UAA2) - Nov</t>
  </si>
  <si>
    <t>Work time barley (UAA2) - Dec</t>
  </si>
  <si>
    <t>Work time sugar beet (UAA2) - Jan</t>
  </si>
  <si>
    <t>Work time sugar beet (UAA2) - Feb</t>
  </si>
  <si>
    <t>Work time sugar beet (UAA2) - March</t>
  </si>
  <si>
    <t>Work time sugar beet (UAA2) - Apr</t>
  </si>
  <si>
    <t>Work time sugar beet (UAA2) - May</t>
  </si>
  <si>
    <t>Work time sugar beet (UAA2) - June</t>
  </si>
  <si>
    <t>Work time sugar beet (UAA2) - July</t>
  </si>
  <si>
    <t>Work time sugar beet (UAA2) - Aug</t>
  </si>
  <si>
    <t>Work time sugar beet (UAA2) - Sept</t>
  </si>
  <si>
    <t>Work time sugar beet (UAA2) - Oct</t>
  </si>
  <si>
    <t>Work time sugar beet (UAA2) - Nov</t>
  </si>
  <si>
    <t>Work time sugar beet (UAA2) - Dec</t>
  </si>
  <si>
    <t>Work time potato (UAA2) - Jan</t>
  </si>
  <si>
    <t>Work time potato (UAA2) - Feb</t>
  </si>
  <si>
    <t>Work time potato (UAA2) - March</t>
  </si>
  <si>
    <t>Work time potato (UAA2) - Apr</t>
  </si>
  <si>
    <t>Work time potato (UAA2) - May</t>
  </si>
  <si>
    <t>Work time potato (UAA2) - June</t>
  </si>
  <si>
    <t>Work time potato (UAA2) - July</t>
  </si>
  <si>
    <t>Work time potato (UAA2) - Aug</t>
  </si>
  <si>
    <t>Work time potato (UAA2) - Sept</t>
  </si>
  <si>
    <t>Work time potato (UAA2) - Oct</t>
  </si>
  <si>
    <t>Work time potato (UAA2) - Nov</t>
  </si>
  <si>
    <t>Work time potato (UAA2) - Dec</t>
  </si>
  <si>
    <t>Work time rapeseed (UAA2) - Jan</t>
  </si>
  <si>
    <t>Work time rapeseed (UAA2) - Feb</t>
  </si>
  <si>
    <t>Work time rapeseed (UAA2) - March</t>
  </si>
  <si>
    <t>Work time rapeseed (UAA2) - Apr</t>
  </si>
  <si>
    <t>Work time rapeseed (UAA2) - May</t>
  </si>
  <si>
    <t>Work time rapeseed (UAA2) - June</t>
  </si>
  <si>
    <t>Work time rapeseed (UAA2) - July</t>
  </si>
  <si>
    <t>Work time rapeseed (UAA2) - Aug</t>
  </si>
  <si>
    <t>Work time rapeseed (UAA2) - Sept</t>
  </si>
  <si>
    <t>Work time rapeseed (UAA2) - Oct</t>
  </si>
  <si>
    <t>Work time rapeseed (UAA2) - Nov</t>
  </si>
  <si>
    <t>Work time rapeseed (UAA2) - Dec</t>
  </si>
  <si>
    <t>Work time pea (UAA2) - Jan</t>
  </si>
  <si>
    <t>Work time pea (UAA2) - Feb</t>
  </si>
  <si>
    <t>Work time pea (UAA2) - March</t>
  </si>
  <si>
    <t>Work time pea (UAA2) - Apr</t>
  </si>
  <si>
    <t>Work time pea (UAA2) - May</t>
  </si>
  <si>
    <t>Work time pea (UAA2) - June</t>
  </si>
  <si>
    <t>Work time pea (UAA2) - July</t>
  </si>
  <si>
    <t>Work time pea (UAA2) - Aug</t>
  </si>
  <si>
    <t>Work time pea (UAA2) - Sept</t>
  </si>
  <si>
    <t>Work time pea (UAA2) - Oct</t>
  </si>
  <si>
    <t>Work time pea (UAA2) - Nov</t>
  </si>
  <si>
    <t>Work time pea (UAA2) - Dec</t>
  </si>
  <si>
    <t>Work time faba bean (UAA2) - Jan</t>
  </si>
  <si>
    <t>Work time faba bean (UAA2) - Feb</t>
  </si>
  <si>
    <t>Work time faba bean (UAA2) - March</t>
  </si>
  <si>
    <t>Work time faba bean (UAA2) - Apr</t>
  </si>
  <si>
    <t>Work time faba bean (UAA2) - May</t>
  </si>
  <si>
    <t>Work time faba bean (UAA2) - June</t>
  </si>
  <si>
    <t>Work time faba bean (UAA2) - July</t>
  </si>
  <si>
    <t>Work time faba bean (UAA2) - Aug</t>
  </si>
  <si>
    <t>Work time faba bean (UAA2) - Sept</t>
  </si>
  <si>
    <t>Work time faba bean (UAA2) - Oct</t>
  </si>
  <si>
    <t>Work time faba bean (UAA2) - Nov</t>
  </si>
  <si>
    <t>Work time faba bean (UAA2) - Dec</t>
  </si>
  <si>
    <t>Work time maize (UAA2) - Jan</t>
  </si>
  <si>
    <t>Work time maize (UAA2) - Feb</t>
  </si>
  <si>
    <t>Work time maize (UAA2) - March</t>
  </si>
  <si>
    <t>Work time maize (UAA2) - Apr</t>
  </si>
  <si>
    <t>Work time maize (UAA2) - May</t>
  </si>
  <si>
    <t>Work time maize (UAA2) - June</t>
  </si>
  <si>
    <t>Work time maize (UAA2) - July</t>
  </si>
  <si>
    <t>Work time maize (UAA2) - Aug</t>
  </si>
  <si>
    <t>Work time maize (UAA2) - Sept</t>
  </si>
  <si>
    <t>Work time maize (UAA2) - Oct</t>
  </si>
  <si>
    <t>Work time maize (UAA2) - Nov</t>
  </si>
  <si>
    <t>Work time maize (UAA2) - Dec</t>
  </si>
  <si>
    <t>Work time alfalfa (UAA2) - Jan</t>
  </si>
  <si>
    <t>Work time alfalfa (UAA2) - Feb</t>
  </si>
  <si>
    <t>Work time alfalfa (UAA2) - March</t>
  </si>
  <si>
    <t>Work time alfalfa (UAA2) - Apr</t>
  </si>
  <si>
    <t>Work time alfalfa (UAA2) - May</t>
  </si>
  <si>
    <t>Work time alfalfa (UAA2) - June</t>
  </si>
  <si>
    <t>Work time alfalfa (UAA2) - July</t>
  </si>
  <si>
    <t>Work time alfalfa (UAA2) - Aug</t>
  </si>
  <si>
    <t>Work time alfalfa (UAA2) - Sept</t>
  </si>
  <si>
    <t>Work time alfalfa (UAA2) - Oct</t>
  </si>
  <si>
    <t>Work time alfalfa (UAA2) - Nov</t>
  </si>
  <si>
    <t>Work time alfalfa (UAA2) - Dec</t>
  </si>
  <si>
    <t>Work time sorghum (UAA2) - Jan</t>
  </si>
  <si>
    <t>Work time sorghum (UAA2) - Feb</t>
  </si>
  <si>
    <t>Work time sorghum (UAA2) - March</t>
  </si>
  <si>
    <t>Work time sorghum (UAA2) - Apr</t>
  </si>
  <si>
    <t>Work time sorghum (UAA2) - May</t>
  </si>
  <si>
    <t>Work time sorghum (UAA2) - June</t>
  </si>
  <si>
    <t>Work time sorghum (UAA2) - July</t>
  </si>
  <si>
    <t>Work time sorghum (UAA2) - Aug</t>
  </si>
  <si>
    <t>Work time sorghum (UAA2) - Sept</t>
  </si>
  <si>
    <t>Work time sorghum (UAA2) - Oct</t>
  </si>
  <si>
    <t>Work time sorghum (UAA2) - Nov</t>
  </si>
  <si>
    <t>Work time sorghum (UAA2) - Dec</t>
  </si>
  <si>
    <t>Work time TG (UAA2) - Jan</t>
  </si>
  <si>
    <t>Work time TG (UAA2) - Feb</t>
  </si>
  <si>
    <t>Work time TG (UAA2) - March</t>
  </si>
  <si>
    <t>Work time TG (UAA2) - Apr</t>
  </si>
  <si>
    <t>Work time TG (UAA2) - May</t>
  </si>
  <si>
    <t>Work time TG (UAA2) - June</t>
  </si>
  <si>
    <t>Work time TG (UAA2) - July</t>
  </si>
  <si>
    <t>Work time TG (UAA2) - Aug</t>
  </si>
  <si>
    <t>Work time TG (UAA2) - Sept</t>
  </si>
  <si>
    <t>Work time TG (UAA2) - Oct</t>
  </si>
  <si>
    <t>Work time TG (UAA2) - Nov</t>
  </si>
  <si>
    <t>Work time TG (UAA2) - Dec</t>
  </si>
  <si>
    <t>Work time PG - Jan</t>
  </si>
  <si>
    <t>Work time PG - Feb</t>
  </si>
  <si>
    <t>Work time PG - March</t>
  </si>
  <si>
    <t>Work time PG - Apr</t>
  </si>
  <si>
    <t>Work time PG - May</t>
  </si>
  <si>
    <t>Work time PG - June</t>
  </si>
  <si>
    <t>Work time PG - July</t>
  </si>
  <si>
    <t>Work time PG - Aug</t>
  </si>
  <si>
    <t>Work time PG - Sept</t>
  </si>
  <si>
    <t>Work time PG - Oct</t>
  </si>
  <si>
    <t>Work time PG - Nov</t>
  </si>
  <si>
    <t>Work time PG - Dec</t>
  </si>
  <si>
    <t>Various costs for crop production (UAA1)</t>
  </si>
  <si>
    <t>Various costs for crop production (UAA2)</t>
  </si>
  <si>
    <t>Susbsidies, 1&lt;sup&gt;st&lt;/sup&gt; pillar of the CAP</t>
  </si>
  <si>
    <t>Susbsidies, 2&lt;sup&gt;nd&lt;/sup&gt; pillar of the CAP</t>
  </si>
  <si>
    <t>Organic farming</t>
  </si>
  <si>
    <t>Average number of dairy cows</t>
  </si>
  <si>
    <t>Average number of heifers</t>
  </si>
  <si>
    <t>Average number of bulls and steers</t>
  </si>
  <si>
    <t>Average number of calves</t>
  </si>
  <si>
    <t>Milk production per dairy cow</t>
  </si>
  <si>
    <t>Veterinary costs for cows</t>
  </si>
  <si>
    <t>Veterinary costs for heifers</t>
  </si>
  <si>
    <t>Veterinary costs for bulls</t>
  </si>
  <si>
    <t>Veterinary costs for steers</t>
  </si>
  <si>
    <t>Insemination costs</t>
  </si>
  <si>
    <t>Routine work demand for milking</t>
  </si>
  <si>
    <t>Routine work demand for feeding (cows)</t>
  </si>
  <si>
    <t>Routine work demand for feeding (other cattle)</t>
  </si>
  <si>
    <t>Routine work demand for manure management (cows)</t>
  </si>
  <si>
    <t>Routine work demand for manure management (other cattle)</t>
  </si>
  <si>
    <t>Routine work demand for heath &amp; care (cows)</t>
  </si>
  <si>
    <t>Routine work demand for heath &amp; care (other cattle)</t>
  </si>
  <si>
    <t>Routine work demand for other activities (cows)</t>
  </si>
  <si>
    <t>Routine work demand for other activities (other cattle)</t>
  </si>
  <si>
    <t>A.2.6</t>
  </si>
  <si>
    <t>Resistance of soil to erosion (UAA1)</t>
  </si>
  <si>
    <t>Resistance of soil to erosion (UAA2)</t>
  </si>
  <si>
    <t>Resistance of soil to erosion (PG)</t>
  </si>
  <si>
    <t>Intermediate indicator for indF59 - manure production of cows</t>
  </si>
  <si>
    <t>Intermediate indicator for indF59 - manure production of heifers</t>
  </si>
  <si>
    <t>Intermediate indicator for indF59 - manure production of bulls</t>
  </si>
  <si>
    <t>Intermediate indicator for indF59 - manure production of steers</t>
  </si>
  <si>
    <t>Intermediate indicator for indF59 - slurry production of cows</t>
  </si>
  <si>
    <t>Intermediate indicator for indF59 - slurry production of heifers</t>
  </si>
  <si>
    <t>Intermediate indicator for indF59 - slurry production of bulls</t>
  </si>
  <si>
    <t>Intermediate indicator for indF59 - slurry production of steers</t>
  </si>
  <si>
    <t>CS #1: maize - wheat - barley</t>
  </si>
  <si>
    <t>C.12.1.be</t>
  </si>
  <si>
    <t>CS #1: sugar beet - wheat - potato - wheat</t>
  </si>
  <si>
    <t>C.12.2.be</t>
  </si>
  <si>
    <t>CS #1: potato - wheat - rapeseed - wheat</t>
  </si>
  <si>
    <t>C.12.3.be</t>
  </si>
  <si>
    <t>CS #1: alfalfa (3 years) - maize - wheat</t>
  </si>
  <si>
    <t>C.12.4.be</t>
  </si>
  <si>
    <t>CS #1: potato - wheat - rapeseed - faba bean - wheat</t>
  </si>
  <si>
    <t>C.12.5.be</t>
  </si>
  <si>
    <t>CS #1: grassland (3 years) - maize - wheat</t>
  </si>
  <si>
    <t>C.12.6.be</t>
  </si>
  <si>
    <t>CS #1: grassland (3 years) - wheat - sugar beet - wheat</t>
  </si>
  <si>
    <t>C.12.7.be</t>
  </si>
  <si>
    <t>CS #1: alfalfa (3 years) - maize - wheat - sugar beet - wheat - barley</t>
  </si>
  <si>
    <t>C.12.8.be</t>
  </si>
  <si>
    <t>CS #1: grassland (3 years) - maize - wheat - faba bean - wheat - rapeseed - wheat</t>
  </si>
  <si>
    <t>C.12.9.be</t>
  </si>
  <si>
    <t>CS #2: maize - wheat - barley</t>
  </si>
  <si>
    <t>C.13.1.be</t>
  </si>
  <si>
    <t>CS #2: sugar beet - wheat - potato - wheat</t>
  </si>
  <si>
    <t>C.13.2.be</t>
  </si>
  <si>
    <t>CS #2: potato - wheat - rapeseed - wheat</t>
  </si>
  <si>
    <t>C.13.3.be</t>
  </si>
  <si>
    <t>CS #2: alfalfa (3 years) - maize - wheat</t>
  </si>
  <si>
    <t>C.13.4.be</t>
  </si>
  <si>
    <t>CS #2: potato - wheat - rapeseed - faba bean - wheat</t>
  </si>
  <si>
    <t>C.13.5.be</t>
  </si>
  <si>
    <t>CS #2: grassland (3 years) - maize - wheat</t>
  </si>
  <si>
    <t>C.13.6.be</t>
  </si>
  <si>
    <t>CS #2: grassland (3 years) - wheat - sugar beet - wheat</t>
  </si>
  <si>
    <t>C.13.7.be</t>
  </si>
  <si>
    <t>CS #2: alfalfa (3 years) - maize - wheat - sugar beet - wheat - barley</t>
  </si>
  <si>
    <t>C.13.8.be</t>
  </si>
  <si>
    <t>CS #2: grassland (3 years) - maize - wheat - faba bean - wheat - rapeseed - wheat</t>
  </si>
  <si>
    <t>C.13.9.be</t>
  </si>
  <si>
    <t>C.12.1.it</t>
  </si>
  <si>
    <t>C.12.2.it</t>
  </si>
  <si>
    <t>C.12.3.it</t>
  </si>
  <si>
    <t>C.12.4.it</t>
  </si>
  <si>
    <t>C.12.5.it</t>
  </si>
  <si>
    <t>C.12.6.it</t>
  </si>
  <si>
    <t>C.12.7.it</t>
  </si>
  <si>
    <t>C.12.8.it</t>
  </si>
  <si>
    <t>C.12.9.it</t>
  </si>
  <si>
    <t>C.13.1.it</t>
  </si>
  <si>
    <t>C.13.2.it</t>
  </si>
  <si>
    <t>C.13.3.it</t>
  </si>
  <si>
    <t>C.13.4.it</t>
  </si>
  <si>
    <t>C.13.5.it</t>
  </si>
  <si>
    <t>C.13.6.it</t>
  </si>
  <si>
    <t>C.13.7.it</t>
  </si>
  <si>
    <t>C.13.8.it</t>
  </si>
  <si>
    <t>C.13.9.it</t>
  </si>
  <si>
    <t>C.12.1.pl</t>
  </si>
  <si>
    <t>C.12.2.pl</t>
  </si>
  <si>
    <t>C.12.3.pl</t>
  </si>
  <si>
    <t>C.12.4.pl</t>
  </si>
  <si>
    <t>C.12.5.pl</t>
  </si>
  <si>
    <t>C.12.6.pl</t>
  </si>
  <si>
    <t>C.12.7.pl</t>
  </si>
  <si>
    <t>C.12.8.pl</t>
  </si>
  <si>
    <t>C.12.9.pl</t>
  </si>
  <si>
    <t>C.13.1.pl</t>
  </si>
  <si>
    <t>C.13.2.pl</t>
  </si>
  <si>
    <t>C.13.3.pl</t>
  </si>
  <si>
    <t>C.13.4.pl</t>
  </si>
  <si>
    <t>C.13.5.pl</t>
  </si>
  <si>
    <t>C.13.6.pl</t>
  </si>
  <si>
    <t>C.13.7.pl</t>
  </si>
  <si>
    <t>C.13.8.pl</t>
  </si>
  <si>
    <t>C.13.9.pl</t>
  </si>
  <si>
    <t>CS #1: faba bean - wheat - rapeseed - maize</t>
  </si>
  <si>
    <t>CS #1: grassland (3 years) - maize - rapeseed - wheat</t>
  </si>
  <si>
    <t>CS #1: grassland (3 years) - maize - wheat - faba bean - rapeseed</t>
  </si>
  <si>
    <t>CS #2: faba bean - wheat - rapeseed - maize</t>
  </si>
  <si>
    <t>CS #2: grassland (3 years) - maize - wheat - faba bean - rapeseed</t>
  </si>
  <si>
    <t>CS #2: faba bean - potato - wheat - alfalfa (3 years) - maize - wheat</t>
  </si>
  <si>
    <t>CS #1: maize - wheat</t>
  </si>
  <si>
    <t>CS #1: rapeseed - wheat - maize - barley</t>
  </si>
  <si>
    <t>CS #1: potato - wheat - maize - barley</t>
  </si>
  <si>
    <t>CS #1: grassland (3 years) - maize - potato - wheat</t>
  </si>
  <si>
    <t>CS #1: faba bean - potato - wheat - alfalfa (3 years) - maize - wheat</t>
  </si>
  <si>
    <t>CS #2: maize - wheat</t>
  </si>
  <si>
    <t>CS #2: rapeseed - wheat - maize - barley</t>
  </si>
  <si>
    <t>CS #2: potato - wheat - maize - barley</t>
  </si>
  <si>
    <t>CS #2: grassland (3 years) - maize - potato - wheat</t>
  </si>
  <si>
    <t>CS #2: grassland (3 years) - maize - rapeseed - wheat</t>
  </si>
  <si>
    <t>CS #1: sorghum - wheat - potato</t>
  </si>
  <si>
    <t>CS #1: rapeseed - sorghum - wheat</t>
  </si>
  <si>
    <t>CS #1: grassland (3 years) - sorghum - wheat</t>
  </si>
  <si>
    <t>CS #1: alfalfa (3 years) - maize - barley - faba bean - wheat</t>
  </si>
  <si>
    <t>CS #1: alfalfa (3 years) - sorghum - barley - faba bean - rapeseed - wheat</t>
  </si>
  <si>
    <t>CS #2: sorghum - wheat - potato</t>
  </si>
  <si>
    <t>CS #2: rapeseed - sorghum - wheat</t>
  </si>
  <si>
    <t>CS #2: grassland (3 years) - sorghum - wheat</t>
  </si>
  <si>
    <t>CS #2: alfalfa (3 years) - maize - barley - faba bean - wheat</t>
  </si>
  <si>
    <t>CS #2: alfalfa (3 years) - sorghum - barley - faba bean - rapeseed -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</si>
</sst>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charset val="1"/>
    </font>
    <font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1"/>
    <xf numFmtId="0" fontId="4" fillId="0" borderId="1"/>
    <xf numFmtId="0" fontId="5" fillId="0" borderId="1"/>
    <xf numFmtId="0" fontId="6" fillId="0" borderId="1"/>
  </cellStyleXfs>
  <cellXfs count="34">
    <xf numFmtId="0" fontId="0" fillId="0" borderId="0" xfId="0" applyFont="1" applyAlignment="1"/>
    <xf numFmtId="0" fontId="1" fillId="0" borderId="0" xfId="0" applyFont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 shrinkToFit="1"/>
    </xf>
    <xf numFmtId="0" fontId="1" fillId="0" borderId="2" xfId="0" applyFont="1" applyBorder="1" applyAlignment="1" applyProtection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3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 shrinkToFit="1"/>
    </xf>
    <xf numFmtId="0" fontId="1" fillId="0" borderId="2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quotePrefix="1" applyFont="1" applyFill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2" fontId="1" fillId="0" borderId="1" xfId="0" applyNumberFormat="1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center" shrinkToFit="1"/>
    </xf>
    <xf numFmtId="164" fontId="1" fillId="0" borderId="1" xfId="0" applyNumberFormat="1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2" fontId="2" fillId="0" borderId="1" xfId="0" applyNumberFormat="1" applyFont="1" applyFill="1" applyBorder="1" applyAlignment="1" applyProtection="1">
      <alignment vertical="center"/>
      <protection locked="0"/>
    </xf>
    <xf numFmtId="164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2" fontId="3" fillId="0" borderId="1" xfId="0" applyNumberFormat="1" applyFont="1" applyFill="1" applyBorder="1" applyAlignment="1" applyProtection="1">
      <alignment vertical="center"/>
      <protection locked="0"/>
    </xf>
    <xf numFmtId="165" fontId="1" fillId="0" borderId="1" xfId="0" applyNumberFormat="1" applyFont="1" applyFill="1" applyBorder="1" applyAlignment="1" applyProtection="1">
      <alignment vertical="center"/>
      <protection locked="0"/>
    </xf>
    <xf numFmtId="4" fontId="1" fillId="0" borderId="1" xfId="0" applyNumberFormat="1" applyFont="1" applyFill="1" applyBorder="1" applyAlignment="1" applyProtection="1">
      <alignment vertical="center"/>
      <protection locked="0"/>
    </xf>
    <xf numFmtId="1" fontId="1" fillId="0" borderId="1" xfId="0" applyNumberFormat="1" applyFont="1" applyFill="1" applyBorder="1" applyAlignment="1" applyProtection="1">
      <alignment vertical="center"/>
      <protection locked="0"/>
    </xf>
    <xf numFmtId="2" fontId="1" fillId="0" borderId="1" xfId="1" applyNumberFormat="1" applyFont="1" applyFill="1" applyBorder="1" applyAlignment="1" applyProtection="1">
      <alignment vertical="center"/>
      <protection locked="0"/>
    </xf>
    <xf numFmtId="2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Alignment="1" applyProtection="1">
      <alignment vertical="center"/>
    </xf>
    <xf numFmtId="164" fontId="1" fillId="0" borderId="0" xfId="0" applyNumberFormat="1" applyFont="1" applyAlignment="1" applyProtection="1">
      <alignment vertical="center"/>
    </xf>
    <xf numFmtId="0" fontId="1" fillId="0" borderId="1" xfId="3" applyFont="1" applyFill="1" applyBorder="1" applyAlignment="1" applyProtection="1">
      <alignment vertical="center"/>
      <protection locked="0"/>
    </xf>
    <xf numFmtId="0" fontId="1" fillId="0" borderId="2" xfId="3" applyFont="1" applyFill="1" applyBorder="1" applyAlignment="1" applyProtection="1">
      <alignment vertical="center"/>
      <protection locked="0"/>
    </xf>
  </cellXfs>
  <cellStyles count="5">
    <cellStyle name="Normal" xfId="0" builtinId="0"/>
    <cellStyle name="Normal 2" xfId="1"/>
    <cellStyle name="Normal 2 2" xfId="4"/>
    <cellStyle name="Normal 3" xfId="2"/>
    <cellStyle name="Normal 4" xfId="3"/>
  </cellStyles>
  <dxfs count="12"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C5DFB3"/>
      <color rgb="FFD8D8D8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of/AOBox/Recherche/SEGAE/model/CMS/de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P"/>
      <sheetName val="indicators"/>
      <sheetName val="parameters"/>
      <sheetName val="formulas"/>
    </sheetNames>
    <sheetDataSet>
      <sheetData sheetId="0">
        <row r="2">
          <cell r="B2" t="str">
            <v>Conventional tillage (CT)</v>
          </cell>
          <cell r="C2" t="str">
            <v>C.1.1</v>
          </cell>
        </row>
        <row r="3">
          <cell r="B3" t="str">
            <v>Reduced tillage (RT)</v>
          </cell>
          <cell r="C3" t="str">
            <v>C.1.2</v>
          </cell>
        </row>
        <row r="4">
          <cell r="B4" t="str">
            <v>No tillage (NT)</v>
          </cell>
          <cell r="C4" t="str">
            <v>C.1.3</v>
          </cell>
        </row>
        <row r="5">
          <cell r="B5" t="str">
            <v>Fall cover crop destructed before winter</v>
          </cell>
          <cell r="C5" t="str">
            <v>C.2.1</v>
          </cell>
        </row>
        <row r="6">
          <cell r="B6" t="str">
            <v>Fall cover crop destructed early spring</v>
          </cell>
          <cell r="C6" t="str">
            <v>C.2.2</v>
          </cell>
        </row>
        <row r="7">
          <cell r="B7" t="str">
            <v>Permanent soil cover</v>
          </cell>
          <cell r="C7" t="str">
            <v>C.2.3</v>
          </cell>
        </row>
        <row r="8">
          <cell r="B8" t="str">
            <v>Straw removal</v>
          </cell>
          <cell r="C8" t="str">
            <v>C.3.1</v>
          </cell>
        </row>
        <row r="9">
          <cell r="B9" t="str">
            <v>Straw left on soil</v>
          </cell>
          <cell r="C9" t="str">
            <v>C.3.2</v>
          </cell>
        </row>
        <row r="10">
          <cell r="B10" t="str">
            <v>On-farm organic fertilizers + input of mineral fertilizer</v>
          </cell>
          <cell r="C10" t="str">
            <v>C.4.1</v>
          </cell>
        </row>
        <row r="11">
          <cell r="B11" t="str">
            <v>On-farm organic fertilizers only</v>
          </cell>
          <cell r="C11" t="str">
            <v>C.4.2</v>
          </cell>
        </row>
        <row r="12">
          <cell r="B12" t="str">
            <v>Systematic use of chemical fungicides</v>
          </cell>
          <cell r="C12" t="str">
            <v>C.5.1</v>
          </cell>
        </row>
        <row r="13">
          <cell r="B13" t="str">
            <v>Sound approach of chemical fungicides</v>
          </cell>
          <cell r="C13" t="str">
            <v>C.5.2</v>
          </cell>
        </row>
        <row r="14">
          <cell r="B14" t="str">
            <v>Biocontrol products against diseases</v>
          </cell>
          <cell r="C14" t="str">
            <v>C.5.3</v>
          </cell>
        </row>
        <row r="15">
          <cell r="B15" t="str">
            <v>No direct protection against diseases</v>
          </cell>
          <cell r="C15" t="str">
            <v>C.5.4</v>
          </cell>
        </row>
        <row r="16">
          <cell r="B16" t="str">
            <v>Systematic and sole use of chemical herbicides</v>
          </cell>
          <cell r="C16" t="str">
            <v>C.6.1</v>
          </cell>
        </row>
        <row r="17">
          <cell r="B17" t="str">
            <v>Sound approach of chemical herbicides + mechanical weed control</v>
          </cell>
          <cell r="C17" t="str">
            <v>C.6.2</v>
          </cell>
        </row>
        <row r="18">
          <cell r="B18" t="str">
            <v>Sole use of mechanical weed control</v>
          </cell>
          <cell r="C18" t="str">
            <v>C.6.3</v>
          </cell>
        </row>
        <row r="19">
          <cell r="B19" t="str">
            <v>Systematic use of chemical insecticides / molluscicides / nematicides</v>
          </cell>
          <cell r="C19" t="str">
            <v>C.7.1</v>
          </cell>
        </row>
        <row r="20">
          <cell r="B20" t="str">
            <v>Sound approach of chemical insecticides / molluscicides / nematicides</v>
          </cell>
          <cell r="C20" t="str">
            <v>C.7.2</v>
          </cell>
        </row>
        <row r="21">
          <cell r="B21" t="str">
            <v>Biocontrol products (incl. pyrethrin) and other natural control techniques against pests</v>
          </cell>
          <cell r="C21" t="str">
            <v>C.7.3</v>
          </cell>
        </row>
        <row r="22">
          <cell r="B22" t="str">
            <v>No direct protection against animal pests</v>
          </cell>
          <cell r="C22" t="str">
            <v>C.7.4</v>
          </cell>
        </row>
        <row r="23">
          <cell r="B23" t="str">
            <v>High yielding cultivars</v>
          </cell>
          <cell r="C23" t="str">
            <v>C.8.1</v>
          </cell>
        </row>
        <row r="24">
          <cell r="B24" t="str">
            <v>Resistant cultivars and/or mix of varieties</v>
          </cell>
          <cell r="C24" t="str">
            <v>C.8.2</v>
          </cell>
        </row>
        <row r="25">
          <cell r="B25" t="str">
            <v>Temporary grassland composed of grass</v>
          </cell>
          <cell r="C25" t="str">
            <v>C.9.1</v>
          </cell>
        </row>
        <row r="26">
          <cell r="B26" t="str">
            <v>Temporary grassland composed of simple grass/legume mixtures</v>
          </cell>
          <cell r="C26" t="str">
            <v>C.9.2</v>
          </cell>
        </row>
        <row r="27">
          <cell r="B27" t="str">
            <v>Temporary grassland composed of complex grass/legume mixtures</v>
          </cell>
          <cell r="C27" t="str">
            <v>C.9.3</v>
          </cell>
        </row>
        <row r="28">
          <cell r="B28" t="str">
            <v>No permanent grassland</v>
          </cell>
          <cell r="C28" t="str">
            <v>C.10.1</v>
          </cell>
        </row>
        <row r="29">
          <cell r="B29" t="str">
            <v>Permanent grassland occupy a small percentage of the farm area</v>
          </cell>
          <cell r="C29" t="str">
            <v>C.10.2</v>
          </cell>
        </row>
        <row r="30">
          <cell r="B30" t="str">
            <v>Permanent grassland occupy a high percentage of the farm area</v>
          </cell>
          <cell r="C30" t="str">
            <v>C.10.3</v>
          </cell>
        </row>
        <row r="31">
          <cell r="B31" t="str">
            <v>Sole crops</v>
          </cell>
          <cell r="C31" t="str">
            <v>C.11.1</v>
          </cell>
        </row>
        <row r="32">
          <cell r="B32" t="str">
            <v>Wheat/pea intercrops</v>
          </cell>
          <cell r="C32" t="str">
            <v>C.11.2</v>
          </cell>
        </row>
        <row r="33">
          <cell r="B33" t="str">
            <v>CS #1: maize - wheat</v>
          </cell>
          <cell r="C33" t="str">
            <v>C.12.1</v>
          </cell>
        </row>
        <row r="34">
          <cell r="B34" t="str">
            <v>CS #1: rapeseed - wheat - maize - wheat</v>
          </cell>
          <cell r="C34" t="str">
            <v>C.12.2</v>
          </cell>
        </row>
        <row r="35">
          <cell r="B35" t="str">
            <v>CS #1: maize - wheat - maize - barley</v>
          </cell>
          <cell r="C35" t="str">
            <v>C.12.3</v>
          </cell>
        </row>
        <row r="36">
          <cell r="B36" t="str">
            <v>CS #1: alfalfa (3 years) - maize - wheat</v>
          </cell>
          <cell r="C36" t="str">
            <v>C.12.4</v>
          </cell>
        </row>
        <row r="37">
          <cell r="B37" t="str">
            <v>CS #1: faba bean - wheat - rapeseed - maize</v>
          </cell>
          <cell r="C37" t="str">
            <v>C.12.5</v>
          </cell>
        </row>
        <row r="38">
          <cell r="B38" t="str">
            <v>CS #1: grassland (4 years) - maize - maize</v>
          </cell>
          <cell r="C38" t="str">
            <v>C.12.6</v>
          </cell>
        </row>
        <row r="39">
          <cell r="B39" t="str">
            <v>CS #1: grassland (3 years) - maize - wheat - barley</v>
          </cell>
          <cell r="C39" t="str">
            <v>C.12.7</v>
          </cell>
        </row>
        <row r="40">
          <cell r="B40" t="str">
            <v>CS #1: faba bean - wheat - maize - alfalfa (3 years) - barley - maize</v>
          </cell>
          <cell r="C40" t="str">
            <v>C.12.8</v>
          </cell>
        </row>
        <row r="41">
          <cell r="B41" t="str">
            <v>CS #1: grassland (3 years) - maize - wheat - faba bean - rapeseed</v>
          </cell>
          <cell r="C41" t="str">
            <v>C.12.9</v>
          </cell>
        </row>
        <row r="42">
          <cell r="B42" t="str">
            <v>CS #2: maize - wheat</v>
          </cell>
          <cell r="C42" t="str">
            <v>C.13.1</v>
          </cell>
        </row>
        <row r="43">
          <cell r="B43" t="str">
            <v>CS #2: rapeseed - wheat - maize - wheat</v>
          </cell>
          <cell r="C43" t="str">
            <v>C.13.2</v>
          </cell>
        </row>
        <row r="44">
          <cell r="B44" t="str">
            <v>CS #2: maize - wheat - maize - barley</v>
          </cell>
          <cell r="C44" t="str">
            <v>C.13.3</v>
          </cell>
        </row>
        <row r="45">
          <cell r="B45" t="str">
            <v>CS #2: alfalfa (3 years) - maize - wheat</v>
          </cell>
          <cell r="C45" t="str">
            <v>C.13.4</v>
          </cell>
        </row>
        <row r="46">
          <cell r="B46" t="str">
            <v>CS #2: faba bean - wheat - rapeseed - maize</v>
          </cell>
          <cell r="C46" t="str">
            <v>C.13.5</v>
          </cell>
        </row>
        <row r="47">
          <cell r="B47" t="str">
            <v>CS #2: grassland (4 years) - maize - maize</v>
          </cell>
          <cell r="C47" t="str">
            <v>C.13.6</v>
          </cell>
        </row>
        <row r="48">
          <cell r="B48" t="str">
            <v>CS #2: grassland (3 years) - maize - wheat - barley</v>
          </cell>
          <cell r="C48" t="str">
            <v>C.13.7</v>
          </cell>
        </row>
        <row r="49">
          <cell r="B49" t="str">
            <v>CS #2: faba bean - wheat - maize - alfalfa (3 years) - barley - maize</v>
          </cell>
          <cell r="C49" t="str">
            <v>C.13.8</v>
          </cell>
        </row>
        <row r="50">
          <cell r="B50" t="str">
            <v>CS #2: grassland (3 years) - maize - wheat - faba bean - rapeseed</v>
          </cell>
          <cell r="C50" t="str">
            <v>C.13.9</v>
          </cell>
        </row>
        <row r="51">
          <cell r="B51" t="str">
            <v>No particular green infrastructure elements</v>
          </cell>
          <cell r="C51" t="str">
            <v>C.14.1</v>
          </cell>
        </row>
        <row r="52">
          <cell r="B52" t="str">
            <v>Sown field margins as green infrastructures: wildflowers strip</v>
          </cell>
          <cell r="C52" t="str">
            <v>C.14.2</v>
          </cell>
        </row>
        <row r="53">
          <cell r="B53" t="str">
            <v>Sown field margins as green infrastructures: beetle bank (for birds and polyphagous predator)</v>
          </cell>
          <cell r="C53" t="str">
            <v>C.14.3</v>
          </cell>
        </row>
        <row r="54">
          <cell r="B54" t="str">
            <v>Semi-natural field margins as green infrastructures: hedgerows </v>
          </cell>
          <cell r="C54" t="str">
            <v>C.14.4</v>
          </cell>
        </row>
        <row r="55">
          <cell r="B55" t="str">
            <v>Semi-natural field margins as green infrastructures: grass margins</v>
          </cell>
          <cell r="C55" t="str">
            <v>C.14.5</v>
          </cell>
        </row>
        <row r="56">
          <cell r="B56" t="str">
            <v>No agroforestry</v>
          </cell>
          <cell r="C56" t="str">
            <v>C.15.1</v>
          </cell>
        </row>
        <row r="57">
          <cell r="B57" t="str">
            <v>In-field agroforestry</v>
          </cell>
          <cell r="C57" t="str">
            <v>C.15.2</v>
          </cell>
        </row>
        <row r="58">
          <cell r="B58" t="str">
            <v>Balanced strategy between farmer income and investment</v>
          </cell>
          <cell r="C58" t="str">
            <v>E.1.1</v>
          </cell>
        </row>
        <row r="59">
          <cell r="B59" t="str">
            <v>Investment-oriented strategy</v>
          </cell>
          <cell r="C59" t="str">
            <v>E.1.2</v>
          </cell>
        </row>
        <row r="60">
          <cell r="B60" t="str">
            <v>Income-oriented strategy</v>
          </cell>
          <cell r="C60" t="str">
            <v>E.1.3</v>
          </cell>
        </row>
        <row r="61">
          <cell r="B61" t="str">
            <v>Conventional farming</v>
          </cell>
          <cell r="C61" t="str">
            <v>G.1.1</v>
          </cell>
        </row>
        <row r="62">
          <cell r="B62" t="str">
            <v>Organic farming</v>
          </cell>
          <cell r="C62" t="str">
            <v>G.1.2</v>
          </cell>
        </row>
        <row r="63">
          <cell r="B63" t="str">
            <v>Cattle breed is Holstein</v>
          </cell>
          <cell r="C63" t="str">
            <v>A.1.1</v>
          </cell>
        </row>
        <row r="64">
          <cell r="B64" t="str">
            <v>Cattle breed is Siemmental</v>
          </cell>
          <cell r="C64" t="str">
            <v>A.1.2</v>
          </cell>
        </row>
        <row r="65">
          <cell r="B65" t="str">
            <v>Cattle breed is Montbéliarde</v>
          </cell>
          <cell r="C65" t="str">
            <v>A.1.3</v>
          </cell>
        </row>
        <row r="66">
          <cell r="B66" t="str">
            <v>Initial herd size</v>
          </cell>
          <cell r="C66" t="str">
            <v>A.2.1</v>
          </cell>
        </row>
        <row r="67">
          <cell r="B67" t="str">
            <v>15% increase of initial herd size (no building modification)</v>
          </cell>
          <cell r="C67" t="str">
            <v>A.2.2</v>
          </cell>
        </row>
        <row r="68">
          <cell r="B68" t="str">
            <v>15% increase of initial herd size (building modification)</v>
          </cell>
          <cell r="C68" t="str">
            <v>A.2.3</v>
          </cell>
        </row>
        <row r="69">
          <cell r="B69" t="str">
            <v>30% increase of initial herd size (building modification)</v>
          </cell>
          <cell r="C69" t="str">
            <v>A.2.4</v>
          </cell>
        </row>
        <row r="70">
          <cell r="B70" t="str">
            <v>15% decrease of initial herd size</v>
          </cell>
          <cell r="C70" t="str">
            <v>A.2.5</v>
          </cell>
        </row>
        <row r="71">
          <cell r="B71" t="str">
            <v>30% decrease of initial herd size</v>
          </cell>
          <cell r="C71" t="str">
            <v>A.2.6</v>
          </cell>
        </row>
        <row r="72">
          <cell r="B72" t="str">
            <v>Bulls fattened up to 18 months</v>
          </cell>
          <cell r="C72" t="str">
            <v>A.3.1</v>
          </cell>
        </row>
        <row r="73">
          <cell r="B73" t="str">
            <v>Castrated males fattened up to 36 months (steer)</v>
          </cell>
          <cell r="C73" t="str">
            <v>A.3.2</v>
          </cell>
        </row>
        <row r="74">
          <cell r="B74" t="str">
            <v>Male calves sold at 8 days</v>
          </cell>
          <cell r="C74" t="str">
            <v>A.3.3</v>
          </cell>
        </row>
        <row r="75">
          <cell r="B75" t="str">
            <v>Cows are tied on straw bedding</v>
          </cell>
          <cell r="C75" t="str">
            <v>A.4.1</v>
          </cell>
        </row>
        <row r="76">
          <cell r="B76" t="str">
            <v>Housing of cows is cubicles with straw (shallow bedding)</v>
          </cell>
          <cell r="C76" t="str">
            <v>A.4.2</v>
          </cell>
        </row>
        <row r="77">
          <cell r="B77" t="str">
            <v>Housing of cows is cubicles with slatted floor</v>
          </cell>
          <cell r="C77" t="str">
            <v>A.4.3</v>
          </cell>
        </row>
        <row r="78">
          <cell r="B78" t="str">
            <v>Housing of cows is free-stall (deep bedding)</v>
          </cell>
          <cell r="C78" t="str">
            <v>A.4.4</v>
          </cell>
        </row>
        <row r="79">
          <cell r="B79" t="str">
            <v>Housing of cows is free-stall slatted floor</v>
          </cell>
          <cell r="C79" t="str">
            <v>A.4.5</v>
          </cell>
        </row>
        <row r="80">
          <cell r="B80" t="str">
            <v>Housing of heifer, bulls and steers is slatted floor</v>
          </cell>
          <cell r="C80" t="str">
            <v>A.5.1</v>
          </cell>
        </row>
        <row r="81">
          <cell r="B81" t="str">
            <v>Housing of heifer, bulls and steers is shallow bedding</v>
          </cell>
          <cell r="C81" t="str">
            <v>A.5.2</v>
          </cell>
        </row>
        <row r="82">
          <cell r="B82" t="str">
            <v>Housing of heifer, bulls and steers is deep bedding</v>
          </cell>
          <cell r="C82" t="str">
            <v>A.5.3</v>
          </cell>
        </row>
        <row r="83">
          <cell r="B83" t="str">
            <v>Cow feeding system: all year indoor, maize silage &amp; soybean meal supplement</v>
          </cell>
          <cell r="C83" t="str">
            <v>A.6.1</v>
          </cell>
        </row>
        <row r="84">
          <cell r="B84" t="str">
            <v>Cow feeding system: all year indoor, sorghum silage &amp; soybean meal supplement</v>
          </cell>
          <cell r="C84" t="str">
            <v>A.6.2</v>
          </cell>
        </row>
        <row r="85">
          <cell r="B85" t="str">
            <v>Cow feeding system: all year indoor, sorghum &amp; alfalfa silage</v>
          </cell>
          <cell r="C85" t="str">
            <v>A.6.3</v>
          </cell>
        </row>
        <row r="86">
          <cell r="B86" t="str">
            <v>Cow feeding system: all year indoor, maize silage, alfalfa silage &amp; soybean meal supplement</v>
          </cell>
          <cell r="C86" t="str">
            <v>A.6.4</v>
          </cell>
        </row>
        <row r="87">
          <cell r="B87" t="str">
            <v>Cow feeding system: 4 months grazing &amp; soybean meal supplement</v>
          </cell>
          <cell r="C87" t="str">
            <v>A.6.5</v>
          </cell>
        </row>
        <row r="88">
          <cell r="B88" t="str">
            <v>Cow feeding system: 4 months grazing &amp; rapeseed meal supplement</v>
          </cell>
          <cell r="C88" t="str">
            <v>A.6.6</v>
          </cell>
        </row>
        <row r="89">
          <cell r="B89" t="str">
            <v>Cow feeding system: 5 months grazing &amp; rapeseed meal supplement</v>
          </cell>
          <cell r="C89" t="str">
            <v>A.6.7</v>
          </cell>
        </row>
        <row r="90">
          <cell r="B90" t="str">
            <v>Cow feeding system: 7 months grazing &amp; rapeseed meal supplement</v>
          </cell>
          <cell r="C90" t="str">
            <v>A.6.8</v>
          </cell>
        </row>
        <row r="91">
          <cell r="B91" t="str">
            <v>Cow feeding system: 8 months grazing &amp; faba bean supplement</v>
          </cell>
          <cell r="C91" t="str">
            <v>A.6.9</v>
          </cell>
        </row>
        <row r="92">
          <cell r="B92" t="str">
            <v>Cow feeding system: all year indoor, hay &amp; rapeseed meal supplement</v>
          </cell>
          <cell r="C92" t="str">
            <v>A.6.10</v>
          </cell>
        </row>
        <row r="93">
          <cell r="B93" t="str">
            <v>Cow feeding system: 9 months grazing, without protein feed supplement</v>
          </cell>
          <cell r="C93" t="str">
            <v>A.6.11</v>
          </cell>
        </row>
        <row r="94">
          <cell r="B94" t="str">
            <v>No concentrate supply for lactating dairy cows</v>
          </cell>
          <cell r="C94" t="str">
            <v>A.7.1</v>
          </cell>
        </row>
        <row r="95">
          <cell r="B95" t="str">
            <v>+1000 kg / cow / year with soybean meal and cereals</v>
          </cell>
          <cell r="C95" t="str">
            <v>A.7.2</v>
          </cell>
        </row>
        <row r="96">
          <cell r="B96" t="str">
            <v>+500 kg / cow / year with soybean meal and cereals</v>
          </cell>
          <cell r="C96" t="str">
            <v>A.7.3</v>
          </cell>
        </row>
        <row r="97">
          <cell r="B97" t="str">
            <v>+500 kg / cow / year with faba bean and cereals</v>
          </cell>
          <cell r="C97" t="str">
            <v>A.7.4</v>
          </cell>
        </row>
        <row r="98">
          <cell r="B98" t="str">
            <v>Heifer feeding system: zero grazing / maize silage + soybean meal | Age at first calving: 24 months</v>
          </cell>
          <cell r="C98" t="str">
            <v>A.8.1</v>
          </cell>
        </row>
        <row r="99">
          <cell r="B99" t="str">
            <v>Heifer feeding system: 4 months grazing / 8 months maize silage + hay + soybean meal | Age at first calving: 24 months</v>
          </cell>
          <cell r="C99" t="str">
            <v>A.8.2</v>
          </cell>
        </row>
        <row r="100">
          <cell r="B100" t="str">
            <v>Heifer feeding system: 6 months grazing / 6 months maize silage + grass silage (or hay) + soybean meal | Age at first calving: 24 months</v>
          </cell>
          <cell r="C100" t="str">
            <v>A.8.3</v>
          </cell>
        </row>
        <row r="101">
          <cell r="B101" t="str">
            <v>Heifer feeding system: 6 months grazing / 6 months grass silage (or hay) + cereals + soybean meal | Age at first calving: 24 months</v>
          </cell>
          <cell r="C101" t="str">
            <v>A.8.4</v>
          </cell>
        </row>
        <row r="102">
          <cell r="B102" t="str">
            <v>Heifer feeding system: zero grazing / maize silage + soybean meal | Age at first calving: 29 months</v>
          </cell>
          <cell r="C102" t="str">
            <v>A.8.5</v>
          </cell>
        </row>
        <row r="103">
          <cell r="B103" t="str">
            <v>Heifer feeding system: 4 months grazing / 8 months maize silage + hay + soybean meal | Age at first calving: 29 months</v>
          </cell>
          <cell r="C103" t="str">
            <v>A.8.6</v>
          </cell>
        </row>
        <row r="104">
          <cell r="B104" t="str">
            <v>Heifer feeding system: 6 months grazing / 6 months maize silage + grass silage (or hay) + soybean meal | Age at first calving: 29 months</v>
          </cell>
          <cell r="C104" t="str">
            <v>A.8.7</v>
          </cell>
        </row>
        <row r="105">
          <cell r="B105" t="str">
            <v>Heifer feeding system: 6 months grazing / 6 months grass silage (or hay) + cereals + soybean meal | Age at first calving: 29 months</v>
          </cell>
          <cell r="C105" t="str">
            <v>A.8.8</v>
          </cell>
        </row>
        <row r="106">
          <cell r="B106" t="str">
            <v>Systematic antibiotic treatment of cows</v>
          </cell>
          <cell r="C106" t="str">
            <v>A.9.1</v>
          </cell>
        </row>
        <row r="107">
          <cell r="B107" t="str">
            <v>Selective antibiotic treatment of cows</v>
          </cell>
          <cell r="C107" t="str">
            <v>A.9.2</v>
          </cell>
        </row>
        <row r="108">
          <cell r="B108" t="str">
            <v>Preventive measures of hygiene of the housing conditions (no treatment of cows)</v>
          </cell>
          <cell r="C108" t="str">
            <v>A.9.3</v>
          </cell>
        </row>
        <row r="109">
          <cell r="B109" t="str">
            <v>Systematic anti-parasitic treatment of heifers</v>
          </cell>
          <cell r="C109" t="str">
            <v>A.10.1</v>
          </cell>
        </row>
        <row r="110">
          <cell r="B110" t="str">
            <v>Selective/targeted treatment of heifers shedding high amounts of parasites</v>
          </cell>
          <cell r="C110" t="str">
            <v>A.10.2</v>
          </cell>
        </row>
        <row r="111">
          <cell r="B111" t="str">
            <v>Immunization against internal parasites by low exposure grazing of heifers (no treatment)</v>
          </cell>
          <cell r="C111" t="str">
            <v>A.10.3</v>
          </cell>
        </row>
        <row r="112">
          <cell r="B112" t="str">
            <v>Milk replacer is fed to calves</v>
          </cell>
          <cell r="C112" t="str">
            <v>A.11.1</v>
          </cell>
        </row>
        <row r="113">
          <cell r="B113" t="str">
            <v>Milk is fed to calves</v>
          </cell>
          <cell r="C113" t="str">
            <v>A.11.2</v>
          </cell>
        </row>
      </sheetData>
      <sheetData sheetId="1">
        <row r="2">
          <cell r="C2" t="str">
            <v>Yield wheat (grain) (UAA1)</v>
          </cell>
          <cell r="I2" t="str">
            <v>indCr1.UAA1</v>
          </cell>
        </row>
        <row r="3">
          <cell r="C3" t="str">
            <v>Yield wheat (straw) (UAA1)</v>
          </cell>
          <cell r="I3" t="str">
            <v>indCr2.UAA1</v>
          </cell>
        </row>
        <row r="4">
          <cell r="C4" t="str">
            <v>Yield barley (grain) (UAA1)</v>
          </cell>
          <cell r="I4" t="str">
            <v>indCr3.UAA1</v>
          </cell>
        </row>
        <row r="5">
          <cell r="C5" t="str">
            <v>Yield barley (straw) (UAA1)</v>
          </cell>
          <cell r="I5" t="str">
            <v>indCr4.UAA1</v>
          </cell>
        </row>
        <row r="6">
          <cell r="C6" t="str">
            <v>Yield sugar beet (UAA1)</v>
          </cell>
          <cell r="I6" t="str">
            <v>indCr5.UAA1</v>
          </cell>
        </row>
        <row r="7">
          <cell r="C7" t="str">
            <v>Yield potato (UAA1)</v>
          </cell>
          <cell r="I7" t="str">
            <v>indCr6.UAA1</v>
          </cell>
        </row>
        <row r="8">
          <cell r="C8" t="str">
            <v>Yield rapeseed (UAA1)</v>
          </cell>
          <cell r="I8" t="str">
            <v>indCr7.UAA1</v>
          </cell>
        </row>
        <row r="9">
          <cell r="C9" t="str">
            <v>Yield pea (UAA1)</v>
          </cell>
          <cell r="I9" t="str">
            <v>indCr8.UAA1</v>
          </cell>
        </row>
        <row r="10">
          <cell r="C10" t="str">
            <v>Yield faba bean (UAA1)</v>
          </cell>
          <cell r="I10" t="str">
            <v>indCr9.UAA1</v>
          </cell>
        </row>
        <row r="11">
          <cell r="C11" t="str">
            <v>Yield maize (UAA1)</v>
          </cell>
          <cell r="I11" t="str">
            <v>indCr10.UAA1</v>
          </cell>
        </row>
        <row r="12">
          <cell r="C12" t="str">
            <v>Yield alfalfa (UAA1)</v>
          </cell>
          <cell r="I12" t="str">
            <v>indCr11.UAA1</v>
          </cell>
        </row>
        <row r="13">
          <cell r="C13" t="str">
            <v>Yield sorghum (UAA1)</v>
          </cell>
          <cell r="I13" t="str">
            <v>indCr12.UAA1</v>
          </cell>
        </row>
        <row r="14">
          <cell r="C14" t="str">
            <v>Yield TG (UAA1)</v>
          </cell>
          <cell r="I14" t="str">
            <v>indCr13.UAA1</v>
          </cell>
        </row>
        <row r="15">
          <cell r="C15" t="str">
            <v>Yield wheat (grain) (UAA2)</v>
          </cell>
          <cell r="I15" t="str">
            <v>indCr1.UAA2</v>
          </cell>
        </row>
        <row r="16">
          <cell r="C16" t="str">
            <v>Yield wheat (straw) (UAA2)</v>
          </cell>
          <cell r="I16" t="str">
            <v>indCr2.UAA2</v>
          </cell>
        </row>
        <row r="17">
          <cell r="C17" t="str">
            <v>Yield barley (grain) (UAA2)</v>
          </cell>
          <cell r="I17" t="str">
            <v>indCr3.UAA2</v>
          </cell>
        </row>
        <row r="18">
          <cell r="C18" t="str">
            <v>Yield barley (straw) (UAA2)</v>
          </cell>
          <cell r="I18" t="str">
            <v>indCr4.UAA2</v>
          </cell>
        </row>
        <row r="19">
          <cell r="C19" t="str">
            <v>Yield sugar beet (UAA2)</v>
          </cell>
          <cell r="I19" t="str">
            <v>indCr5.UAA2</v>
          </cell>
        </row>
        <row r="20">
          <cell r="C20" t="str">
            <v>Yield potato (UAA2)</v>
          </cell>
          <cell r="I20" t="str">
            <v>indCr6.UAA2</v>
          </cell>
        </row>
        <row r="21">
          <cell r="C21" t="str">
            <v>Yield rapeseed (UAA2)</v>
          </cell>
          <cell r="I21" t="str">
            <v>indCr7.UAA2</v>
          </cell>
        </row>
        <row r="22">
          <cell r="C22" t="str">
            <v>Yield pea (UAA2)</v>
          </cell>
          <cell r="I22" t="str">
            <v>indCr8.UAA2</v>
          </cell>
        </row>
        <row r="23">
          <cell r="C23" t="str">
            <v>Yield faba bean (UAA2)</v>
          </cell>
          <cell r="I23" t="str">
            <v>indCr9.UAA2</v>
          </cell>
        </row>
        <row r="24">
          <cell r="C24" t="str">
            <v>Yield maize (UAA2)</v>
          </cell>
          <cell r="I24" t="str">
            <v>indCr10.UAA2</v>
          </cell>
        </row>
        <row r="25">
          <cell r="C25" t="str">
            <v>Yield alfalfa (UAA2)</v>
          </cell>
          <cell r="I25" t="str">
            <v>indCr11.UAA2</v>
          </cell>
        </row>
        <row r="26">
          <cell r="C26" t="str">
            <v>Yield sorghum (UAA2)</v>
          </cell>
          <cell r="I26" t="str">
            <v>indCr12.UAA2</v>
          </cell>
        </row>
        <row r="27">
          <cell r="C27" t="str">
            <v>Yield TG (UAA2)</v>
          </cell>
          <cell r="I27" t="str">
            <v>indCr13.UAA2</v>
          </cell>
        </row>
        <row r="28">
          <cell r="C28" t="str">
            <v>Yield PG</v>
          </cell>
          <cell r="I28" t="str">
            <v>indCr16</v>
          </cell>
        </row>
        <row r="29">
          <cell r="C29" t="str">
            <v>Area wheat (UAA1)</v>
          </cell>
          <cell r="I29" t="str">
            <v>indCr19.UAA1</v>
          </cell>
        </row>
        <row r="30">
          <cell r="C30" t="str">
            <v>Area barley (UAA1)</v>
          </cell>
          <cell r="I30" t="str">
            <v>indCr20.UAA1</v>
          </cell>
        </row>
        <row r="31">
          <cell r="C31" t="str">
            <v>Area sugar beet (UAA1)</v>
          </cell>
          <cell r="I31" t="str">
            <v>indCr21.UAA1</v>
          </cell>
        </row>
        <row r="32">
          <cell r="C32" t="str">
            <v>Area potato (UAA1)</v>
          </cell>
          <cell r="I32" t="str">
            <v>indCr22.UAA1</v>
          </cell>
        </row>
        <row r="33">
          <cell r="C33" t="str">
            <v>Area rapeseed (UAA1)</v>
          </cell>
          <cell r="I33" t="str">
            <v>indCr23.UAA1</v>
          </cell>
        </row>
        <row r="34">
          <cell r="C34" t="str">
            <v>Area pea (UAA1)</v>
          </cell>
          <cell r="I34" t="str">
            <v>indCr24.UAA1</v>
          </cell>
        </row>
        <row r="35">
          <cell r="C35" t="str">
            <v>Area faba bean (UAA1)</v>
          </cell>
          <cell r="I35" t="str">
            <v>indCr25.UAA1</v>
          </cell>
        </row>
        <row r="36">
          <cell r="C36" t="str">
            <v>Area maize (UAA1)</v>
          </cell>
          <cell r="I36" t="str">
            <v>indCr26.UAA1</v>
          </cell>
        </row>
        <row r="37">
          <cell r="C37" t="str">
            <v>Area alfalfa (UAA1)</v>
          </cell>
          <cell r="I37" t="str">
            <v>indCr27.UAA1</v>
          </cell>
        </row>
        <row r="38">
          <cell r="C38" t="str">
            <v>Area sorghum (UAA1)</v>
          </cell>
          <cell r="I38" t="str">
            <v>indCr28.UAA1</v>
          </cell>
        </row>
        <row r="39">
          <cell r="C39" t="str">
            <v>Area TG (UAA1)</v>
          </cell>
          <cell r="I39" t="str">
            <v>indCr29.UAA1</v>
          </cell>
        </row>
        <row r="40">
          <cell r="C40" t="str">
            <v>Area wheat (UAA2)</v>
          </cell>
          <cell r="I40" t="str">
            <v>indCr19.UAA2</v>
          </cell>
        </row>
        <row r="41">
          <cell r="C41" t="str">
            <v>Area barley (UAA2)</v>
          </cell>
          <cell r="I41" t="str">
            <v>indCr20.UAA2</v>
          </cell>
        </row>
        <row r="42">
          <cell r="C42" t="str">
            <v>Area sugar beet (UAA2)</v>
          </cell>
          <cell r="I42" t="str">
            <v>indCr21.UAA2</v>
          </cell>
        </row>
        <row r="43">
          <cell r="C43" t="str">
            <v>Area potato (UAA2)</v>
          </cell>
          <cell r="I43" t="str">
            <v>indCr22.UAA2</v>
          </cell>
        </row>
        <row r="44">
          <cell r="C44" t="str">
            <v>Area rapeseed (UAA2)</v>
          </cell>
          <cell r="I44" t="str">
            <v>indCr23.UAA2</v>
          </cell>
        </row>
        <row r="45">
          <cell r="C45" t="str">
            <v>Area pea (UAA2)</v>
          </cell>
          <cell r="I45" t="str">
            <v>indCr24.UAA2</v>
          </cell>
        </row>
        <row r="46">
          <cell r="C46" t="str">
            <v>Area faba bean (UAA2)</v>
          </cell>
          <cell r="I46" t="str">
            <v>indCr25.UAA2</v>
          </cell>
        </row>
        <row r="47">
          <cell r="C47" t="str">
            <v>Area maize (UAA2)</v>
          </cell>
          <cell r="I47" t="str">
            <v>indCr26.UAA2</v>
          </cell>
        </row>
        <row r="48">
          <cell r="C48" t="str">
            <v>Area alfalfa (UAA2)</v>
          </cell>
          <cell r="I48" t="str">
            <v>indCr27.UAA2</v>
          </cell>
        </row>
        <row r="49">
          <cell r="C49" t="str">
            <v>Area sorghum (UAA2)</v>
          </cell>
          <cell r="I49" t="str">
            <v>indCr28.UAA2</v>
          </cell>
        </row>
        <row r="50">
          <cell r="C50" t="str">
            <v>Area TG (UAA2)</v>
          </cell>
          <cell r="I50" t="str">
            <v>indCr29.UAA2</v>
          </cell>
        </row>
        <row r="51">
          <cell r="C51" t="str">
            <v>Area PG</v>
          </cell>
          <cell r="I51" t="str">
            <v>indCr30</v>
          </cell>
        </row>
        <row r="52">
          <cell r="C52" t="str">
            <v>N supply wheat (UAA1)</v>
          </cell>
          <cell r="I52" t="str">
            <v>indCr31.UAA1</v>
          </cell>
        </row>
        <row r="53">
          <cell r="C53" t="str">
            <v>N supply barley (UAA1)</v>
          </cell>
          <cell r="I53" t="str">
            <v>indCr32.UAA1</v>
          </cell>
        </row>
        <row r="54">
          <cell r="C54" t="str">
            <v>N supply sugar beet (UAA1)</v>
          </cell>
          <cell r="I54" t="str">
            <v>indCr33.UAA1</v>
          </cell>
        </row>
        <row r="55">
          <cell r="C55" t="str">
            <v>N supply potato (UAA1)</v>
          </cell>
          <cell r="I55" t="str">
            <v>indCr34.UAA1</v>
          </cell>
        </row>
        <row r="56">
          <cell r="C56" t="str">
            <v>N supply rapeseed (UAA1)</v>
          </cell>
          <cell r="I56" t="str">
            <v>indCr35.UAA1</v>
          </cell>
        </row>
        <row r="57">
          <cell r="C57" t="str">
            <v>N supply pea (UAA1)</v>
          </cell>
          <cell r="I57" t="str">
            <v>indCr36.UAA1</v>
          </cell>
        </row>
        <row r="58">
          <cell r="C58" t="str">
            <v>N supply faba bean (UAA1)</v>
          </cell>
          <cell r="I58" t="str">
            <v>indCr37.UAA1</v>
          </cell>
        </row>
        <row r="59">
          <cell r="C59" t="str">
            <v>N supply maize (UAA1)</v>
          </cell>
          <cell r="I59" t="str">
            <v>indCr38.UAA1</v>
          </cell>
        </row>
        <row r="60">
          <cell r="C60" t="str">
            <v>N supply alfalfa (UAA1)</v>
          </cell>
          <cell r="I60" t="str">
            <v>indCr39.UAA1</v>
          </cell>
        </row>
        <row r="61">
          <cell r="C61" t="str">
            <v>N supply sorghum (UAA1)</v>
          </cell>
          <cell r="I61" t="str">
            <v>indCr40.UAA1</v>
          </cell>
        </row>
        <row r="62">
          <cell r="C62" t="str">
            <v>N supply TG (UAA1)</v>
          </cell>
          <cell r="I62" t="str">
            <v>indCr41.UAA1</v>
          </cell>
        </row>
        <row r="63">
          <cell r="C63" t="str">
            <v>N supply wheat (UAA2)</v>
          </cell>
          <cell r="I63" t="str">
            <v>indCr31.UAA2</v>
          </cell>
        </row>
        <row r="64">
          <cell r="C64" t="str">
            <v>N supply barley (UAA2)</v>
          </cell>
          <cell r="I64" t="str">
            <v>indCr32.UAA2</v>
          </cell>
        </row>
        <row r="65">
          <cell r="C65" t="str">
            <v>N supply sugar beet (UAA2)</v>
          </cell>
          <cell r="I65" t="str">
            <v>indCr33.UAA2</v>
          </cell>
        </row>
        <row r="66">
          <cell r="C66" t="str">
            <v>N supply potato (UAA2)</v>
          </cell>
          <cell r="I66" t="str">
            <v>indCr34.UAA2</v>
          </cell>
        </row>
        <row r="67">
          <cell r="C67" t="str">
            <v>N supply rapeseed (UAA2)</v>
          </cell>
          <cell r="I67" t="str">
            <v>indCr35.UAA2</v>
          </cell>
        </row>
        <row r="68">
          <cell r="C68" t="str">
            <v>N supply pea (UAA2)</v>
          </cell>
          <cell r="I68" t="str">
            <v>indCr36.UAA2</v>
          </cell>
        </row>
        <row r="69">
          <cell r="C69" t="str">
            <v>N supply faba bean (UAA2)</v>
          </cell>
          <cell r="I69" t="str">
            <v>indCr37.UAA2</v>
          </cell>
        </row>
        <row r="70">
          <cell r="C70" t="str">
            <v>N supply maize (UAA2)</v>
          </cell>
          <cell r="I70" t="str">
            <v>indCr38.UAA2</v>
          </cell>
        </row>
        <row r="71">
          <cell r="C71" t="str">
            <v>N supply alfalfa (UAA2)</v>
          </cell>
          <cell r="I71" t="str">
            <v>indCr39.UAA2</v>
          </cell>
        </row>
        <row r="72">
          <cell r="C72" t="str">
            <v>N supply sorghum (UAA2)</v>
          </cell>
          <cell r="I72" t="str">
            <v>indCr40.UAA2</v>
          </cell>
        </row>
        <row r="73">
          <cell r="C73" t="str">
            <v>N supply TG (UAA2)</v>
          </cell>
          <cell r="I73" t="str">
            <v>indCr41.UAA2</v>
          </cell>
        </row>
        <row r="74">
          <cell r="C74" t="str">
            <v>N supply PG</v>
          </cell>
          <cell r="I74" t="str">
            <v>indCr42</v>
          </cell>
        </row>
        <row r="75">
          <cell r="C75" t="str">
            <v>TFI wheat (UAA1)</v>
          </cell>
          <cell r="I75" t="str">
            <v>indCr43.UAA1</v>
          </cell>
        </row>
        <row r="76">
          <cell r="C76" t="str">
            <v>TFI barley (UAA1)</v>
          </cell>
          <cell r="I76" t="str">
            <v>indCr44.UAA1</v>
          </cell>
        </row>
        <row r="77">
          <cell r="C77" t="str">
            <v>TFI sugar beet (UAA1)</v>
          </cell>
          <cell r="I77" t="str">
            <v>indCr45.UAA1</v>
          </cell>
        </row>
        <row r="78">
          <cell r="C78" t="str">
            <v>TFI potato (UAA1)</v>
          </cell>
          <cell r="I78" t="str">
            <v>indCr46.UAA1</v>
          </cell>
        </row>
        <row r="79">
          <cell r="C79" t="str">
            <v>TFI rapeseed (UAA1)</v>
          </cell>
          <cell r="I79" t="str">
            <v>indCr47.UAA1</v>
          </cell>
        </row>
        <row r="80">
          <cell r="C80" t="str">
            <v>TFI pea (UAA1)</v>
          </cell>
          <cell r="I80" t="str">
            <v>indCr48.UAA1</v>
          </cell>
        </row>
        <row r="81">
          <cell r="C81" t="str">
            <v>TFI faba bean (UAA1)</v>
          </cell>
          <cell r="I81" t="str">
            <v>indCr49.UAA1</v>
          </cell>
        </row>
        <row r="82">
          <cell r="C82" t="str">
            <v>TFI maize (UAA1)</v>
          </cell>
          <cell r="I82" t="str">
            <v>indCr50.UAA1</v>
          </cell>
        </row>
        <row r="83">
          <cell r="C83" t="str">
            <v>TFI alfalfa (UAA1)</v>
          </cell>
          <cell r="I83" t="str">
            <v>indCr51.UAA1</v>
          </cell>
        </row>
        <row r="84">
          <cell r="C84" t="str">
            <v>TFI sorghum (UAA1)</v>
          </cell>
          <cell r="I84" t="str">
            <v>indCr52.UAA1</v>
          </cell>
        </row>
        <row r="85">
          <cell r="C85" t="str">
            <v>TFI TG (UAA1)</v>
          </cell>
          <cell r="I85" t="str">
            <v>indCr53.UAA1</v>
          </cell>
        </row>
        <row r="86">
          <cell r="C86" t="str">
            <v>TFI wheat (UAA2)</v>
          </cell>
          <cell r="I86" t="str">
            <v>indCr43.UAA2</v>
          </cell>
        </row>
        <row r="87">
          <cell r="C87" t="str">
            <v>TFI barley (UAA2)</v>
          </cell>
          <cell r="I87" t="str">
            <v>indCr44.UAA2</v>
          </cell>
        </row>
        <row r="88">
          <cell r="C88" t="str">
            <v>TFI sugar beet (UAA2)</v>
          </cell>
          <cell r="I88" t="str">
            <v>indCr45.UAA2</v>
          </cell>
        </row>
        <row r="89">
          <cell r="C89" t="str">
            <v>TFI potato (UAA2)</v>
          </cell>
          <cell r="I89" t="str">
            <v>indCr46.UAA2</v>
          </cell>
        </row>
        <row r="90">
          <cell r="C90" t="str">
            <v>TFI rapeseed (UAA2)</v>
          </cell>
          <cell r="I90" t="str">
            <v>indCr47.UAA2</v>
          </cell>
        </row>
        <row r="91">
          <cell r="C91" t="str">
            <v>TFI pea (UAA2)</v>
          </cell>
          <cell r="I91" t="str">
            <v>indCr48.UAA2</v>
          </cell>
        </row>
        <row r="92">
          <cell r="C92" t="str">
            <v>TFI faba bean (UAA2)</v>
          </cell>
          <cell r="I92" t="str">
            <v>indCr49.UAA2</v>
          </cell>
        </row>
        <row r="93">
          <cell r="C93" t="str">
            <v>TFI maize (UAA2)</v>
          </cell>
          <cell r="I93" t="str">
            <v>indCr50.UAA2</v>
          </cell>
        </row>
        <row r="94">
          <cell r="C94" t="str">
            <v>TFI alfalfa (UAA2)</v>
          </cell>
          <cell r="I94" t="str">
            <v>indCr51.UAA2</v>
          </cell>
        </row>
        <row r="95">
          <cell r="C95" t="str">
            <v>TFI sorghum (UAA2)</v>
          </cell>
          <cell r="I95" t="str">
            <v>indCr52.UAA2</v>
          </cell>
        </row>
        <row r="96">
          <cell r="C96" t="str">
            <v>TFI TG (UAA2)</v>
          </cell>
          <cell r="I96" t="str">
            <v>indCr53.UAA2</v>
          </cell>
        </row>
        <row r="97">
          <cell r="C97" t="str">
            <v>TFI PG</v>
          </cell>
          <cell r="I97" t="str">
            <v>indCr54</v>
          </cell>
        </row>
        <row r="98">
          <cell r="C98" t="str">
            <v>Natural enemies (UAA1)</v>
          </cell>
          <cell r="I98" t="str">
            <v>indCr55.UAA1</v>
          </cell>
        </row>
        <row r="99">
          <cell r="C99" t="str">
            <v>Natural enemies (UAA2)</v>
          </cell>
          <cell r="I99" t="str">
            <v>indCr55.UAA2</v>
          </cell>
        </row>
        <row r="100">
          <cell r="C100" t="str">
            <v>Natural enemies (PG)</v>
          </cell>
          <cell r="I100" t="str">
            <v>indCr56</v>
          </cell>
        </row>
        <row r="101">
          <cell r="C101" t="str">
            <v>Microbial biomass (UAA1)</v>
          </cell>
          <cell r="I101" t="str">
            <v>indCr57.UAA1</v>
          </cell>
        </row>
        <row r="102">
          <cell r="C102" t="str">
            <v>Microbial biomass (UAA2)</v>
          </cell>
          <cell r="I102" t="str">
            <v>indCr57.UAA2</v>
          </cell>
        </row>
        <row r="103">
          <cell r="C103" t="str">
            <v>Microbial biomass (PG)</v>
          </cell>
          <cell r="I103" t="str">
            <v>indCr58</v>
          </cell>
        </row>
        <row r="104">
          <cell r="C104" t="str">
            <v>Soil meso-fauna - nematodes (UAA1)</v>
          </cell>
          <cell r="I104" t="str">
            <v>indCr59.UAA1</v>
          </cell>
        </row>
        <row r="105">
          <cell r="C105" t="str">
            <v>Soil meso-fauna - nematodes (UAA2)</v>
          </cell>
          <cell r="I105" t="str">
            <v>indCr59.UAA2</v>
          </cell>
        </row>
        <row r="106">
          <cell r="C106" t="str">
            <v>Soil meso-fauna - nematodes (PG)</v>
          </cell>
          <cell r="I106" t="str">
            <v>indCr60</v>
          </cell>
        </row>
        <row r="107">
          <cell r="C107" t="str">
            <v>Earthworm abundance (UAA1)</v>
          </cell>
          <cell r="I107" t="str">
            <v>indCr61.UAA1</v>
          </cell>
        </row>
        <row r="108">
          <cell r="C108" t="str">
            <v>Earthworm abundance (UAA2)</v>
          </cell>
          <cell r="I108" t="str">
            <v>indCr61.UAA2</v>
          </cell>
        </row>
        <row r="109">
          <cell r="C109" t="str">
            <v>Earthworm abundance (PG)</v>
          </cell>
          <cell r="I109" t="str">
            <v>indCr62</v>
          </cell>
        </row>
        <row r="110">
          <cell r="C110" t="str">
            <v>Pollinators (UAA1)</v>
          </cell>
          <cell r="I110" t="str">
            <v>indCr63.UAA1</v>
          </cell>
        </row>
        <row r="111">
          <cell r="C111" t="str">
            <v>Pollinators (UAA2)</v>
          </cell>
          <cell r="I111" t="str">
            <v>indCr63.UAA2</v>
          </cell>
        </row>
        <row r="112">
          <cell r="C112" t="str">
            <v>Pollinators (PG)</v>
          </cell>
          <cell r="I112" t="str">
            <v>indCr64</v>
          </cell>
        </row>
        <row r="113">
          <cell r="C113" t="str">
            <v>Soil Organic Carbon (SOC) (UAA1)</v>
          </cell>
          <cell r="I113" t="str">
            <v>indCr65.UAA1</v>
          </cell>
        </row>
        <row r="114">
          <cell r="C114" t="str">
            <v>Soil Organic Carbon (SOC) (UAA2)</v>
          </cell>
          <cell r="I114" t="str">
            <v>indCr65.UAA2</v>
          </cell>
        </row>
        <row r="115">
          <cell r="C115" t="str">
            <v>Soil Organic Carbon (SOC) (PG)</v>
          </cell>
          <cell r="I115" t="str">
            <v>indCr66</v>
          </cell>
        </row>
        <row r="116">
          <cell r="C116" t="str">
            <v>N content (UAA1)</v>
          </cell>
          <cell r="I116" t="str">
            <v>indCr67.UAA1</v>
          </cell>
        </row>
        <row r="117">
          <cell r="C117" t="str">
            <v>N content (UAA2)</v>
          </cell>
          <cell r="I117" t="str">
            <v>indCr67.UAA2</v>
          </cell>
        </row>
        <row r="118">
          <cell r="C118" t="str">
            <v>N content (PG)</v>
          </cell>
          <cell r="I118" t="str">
            <v>indCr68</v>
          </cell>
        </row>
        <row r="119">
          <cell r="C119" t="str">
            <v>P content (UAA1)</v>
          </cell>
          <cell r="I119" t="str">
            <v>indCr69.UAA1</v>
          </cell>
        </row>
        <row r="120">
          <cell r="C120" t="str">
            <v>P content (UAA2)</v>
          </cell>
          <cell r="I120" t="str">
            <v>indCr69.UAA2</v>
          </cell>
        </row>
        <row r="121">
          <cell r="C121" t="str">
            <v>P content (PG)</v>
          </cell>
          <cell r="I121" t="str">
            <v>indCr70</v>
          </cell>
        </row>
        <row r="122">
          <cell r="C122" t="str">
            <v>Soil water holding capacity (UAA1)</v>
          </cell>
          <cell r="I122" t="str">
            <v>indCr71.UAA1</v>
          </cell>
        </row>
        <row r="123">
          <cell r="C123" t="str">
            <v>Soil water holding capacity (UAA2)</v>
          </cell>
          <cell r="I123" t="str">
            <v>indCr71.UAA2</v>
          </cell>
        </row>
        <row r="124">
          <cell r="C124" t="str">
            <v>Soil water holding capacity (PG)</v>
          </cell>
          <cell r="I124" t="str">
            <v>indCr72</v>
          </cell>
        </row>
        <row r="125">
          <cell r="C125" t="str">
            <v>Soil water infiltration (UAA1)</v>
          </cell>
          <cell r="I125" t="str">
            <v>indCr73.UAA1</v>
          </cell>
        </row>
        <row r="126">
          <cell r="C126" t="str">
            <v>Soil water infiltration (UAA2)</v>
          </cell>
          <cell r="I126" t="str">
            <v>indCr73.UAA2</v>
          </cell>
        </row>
        <row r="127">
          <cell r="C127" t="str">
            <v>Soil water infiltration (PG)</v>
          </cell>
          <cell r="I127" t="str">
            <v>indCr74</v>
          </cell>
        </row>
        <row r="128">
          <cell r="C128" t="str">
            <v>Resistance of soil to erosion (UAA1)</v>
          </cell>
          <cell r="I128" t="str">
            <v>indCr75.UAA1</v>
          </cell>
        </row>
        <row r="129">
          <cell r="C129" t="str">
            <v>Resistance of soil to erosion (UAA2)</v>
          </cell>
          <cell r="I129" t="str">
            <v>indCr75.UAA2</v>
          </cell>
        </row>
        <row r="130">
          <cell r="C130" t="str">
            <v>Resistance of soil to erosion (PG)</v>
          </cell>
          <cell r="I130" t="str">
            <v>indCr76</v>
          </cell>
        </row>
        <row r="131">
          <cell r="C131" t="str">
            <v>Fuel consumption wheat (UAA1)</v>
          </cell>
          <cell r="I131" t="str">
            <v>indCr77.UAA1</v>
          </cell>
        </row>
        <row r="132">
          <cell r="C132" t="str">
            <v>Fuel consumption barley (UAA1)</v>
          </cell>
          <cell r="I132" t="str">
            <v>indCr78.UAA1</v>
          </cell>
        </row>
        <row r="133">
          <cell r="C133" t="str">
            <v>Fuel consumption sugar beet (UAA1)</v>
          </cell>
          <cell r="I133" t="str">
            <v>indCr79.UAA1</v>
          </cell>
        </row>
        <row r="134">
          <cell r="C134" t="str">
            <v>Fuel consumption potato (UAA1)</v>
          </cell>
          <cell r="I134" t="str">
            <v>indCr80.UAA1</v>
          </cell>
        </row>
        <row r="135">
          <cell r="C135" t="str">
            <v>Fuel consumption rapeseed (UAA1)</v>
          </cell>
          <cell r="I135" t="str">
            <v>indCr81.UAA1</v>
          </cell>
        </row>
        <row r="136">
          <cell r="C136" t="str">
            <v>Fuel consumption pea (UAA1)</v>
          </cell>
          <cell r="I136" t="str">
            <v>indCr82.UAA1</v>
          </cell>
        </row>
        <row r="137">
          <cell r="C137" t="str">
            <v>Fuel consumption faba bean (UAA1)</v>
          </cell>
          <cell r="I137" t="str">
            <v>indCr83.UAA1</v>
          </cell>
        </row>
        <row r="138">
          <cell r="C138" t="str">
            <v>Fuel consumption maize (UAA1)</v>
          </cell>
          <cell r="I138" t="str">
            <v>indCr84.UAA1</v>
          </cell>
        </row>
        <row r="139">
          <cell r="C139" t="str">
            <v>Fuel consumption alfalfa (UAA1)</v>
          </cell>
          <cell r="I139" t="str">
            <v>indCr85.UAA1</v>
          </cell>
        </row>
        <row r="140">
          <cell r="C140" t="str">
            <v>Fuel consumption sorghum (UAA1)</v>
          </cell>
          <cell r="I140" t="str">
            <v>indCr86.UAA1</v>
          </cell>
        </row>
        <row r="141">
          <cell r="C141" t="str">
            <v>Fuel consumption TG (UAA1)</v>
          </cell>
          <cell r="I141" t="str">
            <v>indCr87.UAA1</v>
          </cell>
        </row>
        <row r="142">
          <cell r="C142" t="str">
            <v>Fuel consumption wheat (UAA2)</v>
          </cell>
          <cell r="I142" t="str">
            <v>indCr77.UAA2</v>
          </cell>
        </row>
        <row r="143">
          <cell r="C143" t="str">
            <v>Fuel consumption barley (UAA2)</v>
          </cell>
          <cell r="I143" t="str">
            <v>indCr78.UAA2</v>
          </cell>
        </row>
        <row r="144">
          <cell r="C144" t="str">
            <v>Fuel consumption sugar beet (UAA2)</v>
          </cell>
          <cell r="I144" t="str">
            <v>indCr79.UAA2</v>
          </cell>
        </row>
        <row r="145">
          <cell r="C145" t="str">
            <v>Fuel consumption potato (UAA2)</v>
          </cell>
          <cell r="I145" t="str">
            <v>indCr80.UAA2</v>
          </cell>
        </row>
        <row r="146">
          <cell r="C146" t="str">
            <v>Fuel consumption rapeseed (UAA2)</v>
          </cell>
          <cell r="I146" t="str">
            <v>indCr81.UAA2</v>
          </cell>
        </row>
        <row r="147">
          <cell r="C147" t="str">
            <v>Fuel consumption pea (UAA2)</v>
          </cell>
          <cell r="I147" t="str">
            <v>indCr82.UAA2</v>
          </cell>
        </row>
        <row r="148">
          <cell r="C148" t="str">
            <v>Fuel consumption faba bean (UAA2)</v>
          </cell>
          <cell r="I148" t="str">
            <v>indCr83.UAA2</v>
          </cell>
        </row>
        <row r="149">
          <cell r="C149" t="str">
            <v>Fuel consumption maize (UAA2)</v>
          </cell>
          <cell r="I149" t="str">
            <v>indCr84.UAA2</v>
          </cell>
        </row>
        <row r="150">
          <cell r="C150" t="str">
            <v>Fuel consumption alfalfa (UAA2)</v>
          </cell>
          <cell r="I150" t="str">
            <v>indCr85.UAA2</v>
          </cell>
        </row>
        <row r="151">
          <cell r="C151" t="str">
            <v>Fuel consumption sorghum (UAA2)</v>
          </cell>
          <cell r="I151" t="str">
            <v>indCr86.UAA2</v>
          </cell>
        </row>
        <row r="152">
          <cell r="C152" t="str">
            <v>Fuel consumption TG (UAA2)</v>
          </cell>
          <cell r="I152" t="str">
            <v>indCr87.UAA2</v>
          </cell>
        </row>
        <row r="153">
          <cell r="C153" t="str">
            <v>Fuel consumption PG</v>
          </cell>
          <cell r="I153" t="str">
            <v>indCr88</v>
          </cell>
        </row>
        <row r="154">
          <cell r="C154" t="str">
            <v>Work time wheat (UAA1) - Jan</v>
          </cell>
          <cell r="I154" t="str">
            <v>indCr89.UAA1 Jan</v>
          </cell>
        </row>
        <row r="155">
          <cell r="C155" t="str">
            <v>Work time wheat (UAA1) - Feb</v>
          </cell>
          <cell r="I155" t="str">
            <v>indCr90.UAA1 Feb</v>
          </cell>
        </row>
        <row r="156">
          <cell r="C156" t="str">
            <v>Work time wheat (UAA1) - March</v>
          </cell>
          <cell r="I156" t="str">
            <v>indCr91.UAA1 March</v>
          </cell>
        </row>
        <row r="157">
          <cell r="C157" t="str">
            <v>Work time wheat (UAA1) - Apr</v>
          </cell>
          <cell r="I157" t="str">
            <v>indCr92.UAA1 Apr</v>
          </cell>
        </row>
        <row r="158">
          <cell r="C158" t="str">
            <v>Work time wheat (UAA1) - May</v>
          </cell>
          <cell r="I158" t="str">
            <v>indCr93.UAA1 May</v>
          </cell>
        </row>
        <row r="159">
          <cell r="C159" t="str">
            <v>Work time wheat (UAA1) - June</v>
          </cell>
          <cell r="I159" t="str">
            <v>indCr94.UAA1 June</v>
          </cell>
        </row>
        <row r="160">
          <cell r="C160" t="str">
            <v>Work time wheat (UAA1) - July</v>
          </cell>
          <cell r="I160" t="str">
            <v>indCr95.UAA1 July</v>
          </cell>
        </row>
        <row r="161">
          <cell r="C161" t="str">
            <v>Work time wheat (UAA1) - Aug</v>
          </cell>
          <cell r="I161" t="str">
            <v>indCr96.UAA1 Aug</v>
          </cell>
        </row>
        <row r="162">
          <cell r="C162" t="str">
            <v>Work time wheat (UAA1) - Sept</v>
          </cell>
          <cell r="I162" t="str">
            <v>indCr97.UAA1 Sept</v>
          </cell>
        </row>
        <row r="163">
          <cell r="C163" t="str">
            <v>Work time wheat (UAA1) - Oct</v>
          </cell>
          <cell r="I163" t="str">
            <v>indCr98.UAA1 Oct</v>
          </cell>
        </row>
        <row r="164">
          <cell r="C164" t="str">
            <v>Work time wheat (UAA1) - Nov</v>
          </cell>
          <cell r="I164" t="str">
            <v>indCr99.UAA1 Nov</v>
          </cell>
        </row>
        <row r="165">
          <cell r="C165" t="str">
            <v>Work time wheat (UAA1) - Dec</v>
          </cell>
          <cell r="I165" t="str">
            <v>indCr100.UAA1 Dec</v>
          </cell>
        </row>
        <row r="166">
          <cell r="C166" t="str">
            <v>Work time barley (UAA1) - Jan</v>
          </cell>
          <cell r="I166" t="str">
            <v>indCr101.UAA1 Jan</v>
          </cell>
        </row>
        <row r="167">
          <cell r="C167" t="str">
            <v>Work time barley (UAA1) - Feb</v>
          </cell>
          <cell r="I167" t="str">
            <v>indCr102.UAA1 Feb</v>
          </cell>
        </row>
        <row r="168">
          <cell r="C168" t="str">
            <v>Work time barley (UAA1) - March</v>
          </cell>
          <cell r="I168" t="str">
            <v>indCr103.UAA1 March</v>
          </cell>
        </row>
        <row r="169">
          <cell r="C169" t="str">
            <v>Work time barley (UAA1) - Apr</v>
          </cell>
          <cell r="I169" t="str">
            <v>indCr104.UAA1 Apr</v>
          </cell>
        </row>
        <row r="170">
          <cell r="C170" t="str">
            <v>Work time barley (UAA1) - May</v>
          </cell>
          <cell r="I170" t="str">
            <v>indCr105.UAA1 May</v>
          </cell>
        </row>
        <row r="171">
          <cell r="C171" t="str">
            <v>Work time barley (UAA1) - June</v>
          </cell>
          <cell r="I171" t="str">
            <v>indCr106.UAA1 June</v>
          </cell>
        </row>
        <row r="172">
          <cell r="C172" t="str">
            <v>Work time barley (UAA1) - July</v>
          </cell>
          <cell r="I172" t="str">
            <v>indCr107.UAA1 July</v>
          </cell>
        </row>
        <row r="173">
          <cell r="C173" t="str">
            <v>Work time barley (UAA1) - Aug</v>
          </cell>
          <cell r="I173" t="str">
            <v>indCr108.UAA1 Aug</v>
          </cell>
        </row>
        <row r="174">
          <cell r="C174" t="str">
            <v>Work time barley (UAA1) - Sept</v>
          </cell>
          <cell r="I174" t="str">
            <v>indCr109.UAA1 Sept</v>
          </cell>
        </row>
        <row r="175">
          <cell r="C175" t="str">
            <v>Work time barley (UAA1) - Oct</v>
          </cell>
          <cell r="I175" t="str">
            <v>indCr110.UAA1 Oct</v>
          </cell>
        </row>
        <row r="176">
          <cell r="C176" t="str">
            <v>Work time barley (UAA1) - Nov</v>
          </cell>
          <cell r="I176" t="str">
            <v>indCr111.UAA1 Nov</v>
          </cell>
        </row>
        <row r="177">
          <cell r="C177" t="str">
            <v>Work time barley (UAA1) - Dec</v>
          </cell>
          <cell r="I177" t="str">
            <v>indCr112.UAA1 Dec</v>
          </cell>
        </row>
        <row r="178">
          <cell r="C178" t="str">
            <v>Work time sugar beet (UAA1) - Jan</v>
          </cell>
          <cell r="I178" t="str">
            <v>indCr113.UAA1 Jan</v>
          </cell>
        </row>
        <row r="179">
          <cell r="C179" t="str">
            <v>Work time sugar beet (UAA1) - Feb</v>
          </cell>
          <cell r="I179" t="str">
            <v>indCr114.UAA1 Feb</v>
          </cell>
        </row>
        <row r="180">
          <cell r="C180" t="str">
            <v>Work time sugar beet (UAA1) - March</v>
          </cell>
          <cell r="I180" t="str">
            <v>indCr115.UAA1 March</v>
          </cell>
        </row>
        <row r="181">
          <cell r="C181" t="str">
            <v>Work time sugar beet (UAA1) - Apr</v>
          </cell>
          <cell r="I181" t="str">
            <v>indCr116.UAA1 Apr</v>
          </cell>
        </row>
        <row r="182">
          <cell r="C182" t="str">
            <v>Work time sugar beet (UAA1) - May</v>
          </cell>
          <cell r="I182" t="str">
            <v>indCr117.UAA1 May</v>
          </cell>
        </row>
        <row r="183">
          <cell r="C183" t="str">
            <v>Work time sugar beet (UAA1) - June</v>
          </cell>
          <cell r="I183" t="str">
            <v>indCr118.UAA1 June</v>
          </cell>
        </row>
        <row r="184">
          <cell r="C184" t="str">
            <v>Work time sugar beet (UAA1) - July</v>
          </cell>
          <cell r="I184" t="str">
            <v>indCr119.UAA1 July</v>
          </cell>
        </row>
        <row r="185">
          <cell r="C185" t="str">
            <v>Work time sugar beet (UAA1) - Aug</v>
          </cell>
          <cell r="I185" t="str">
            <v>indCr120.UAA1 Aug</v>
          </cell>
        </row>
        <row r="186">
          <cell r="C186" t="str">
            <v>Work time sugar beet (UAA1) - Sept</v>
          </cell>
          <cell r="I186" t="str">
            <v>indCr121.UAA1 Sept</v>
          </cell>
        </row>
        <row r="187">
          <cell r="C187" t="str">
            <v>Work time sugar beet (UAA1) - Oct</v>
          </cell>
          <cell r="I187" t="str">
            <v>indCr122.UAA1 Oct</v>
          </cell>
        </row>
        <row r="188">
          <cell r="C188" t="str">
            <v>Work time sugar beet (UAA1) - Nov</v>
          </cell>
          <cell r="I188" t="str">
            <v>indCr123.UAA1 Nov</v>
          </cell>
        </row>
        <row r="189">
          <cell r="C189" t="str">
            <v>Work time sugar beet (UAA1) - Dec</v>
          </cell>
          <cell r="I189" t="str">
            <v>indCr124.UAA1 Dec</v>
          </cell>
        </row>
        <row r="190">
          <cell r="C190" t="str">
            <v>Work time potato (UAA1) - Jan</v>
          </cell>
          <cell r="I190" t="str">
            <v>indCr125.UAA1 Jan</v>
          </cell>
        </row>
        <row r="191">
          <cell r="C191" t="str">
            <v>Work time potato (UAA1) - Feb</v>
          </cell>
          <cell r="I191" t="str">
            <v>indCr126.UAA1 Feb</v>
          </cell>
        </row>
        <row r="192">
          <cell r="C192" t="str">
            <v>Work time potato (UAA1) - March</v>
          </cell>
          <cell r="I192" t="str">
            <v>indCr127.UAA1 March</v>
          </cell>
        </row>
        <row r="193">
          <cell r="C193" t="str">
            <v>Work time potato (UAA1) - Apr</v>
          </cell>
          <cell r="I193" t="str">
            <v>indCr128.UAA1 Apr</v>
          </cell>
        </row>
        <row r="194">
          <cell r="C194" t="str">
            <v>Work time potato (UAA1) - May</v>
          </cell>
          <cell r="I194" t="str">
            <v>indCr129.UAA1 May</v>
          </cell>
        </row>
        <row r="195">
          <cell r="C195" t="str">
            <v>Work time potato (UAA1) - June</v>
          </cell>
          <cell r="I195" t="str">
            <v>indCr130.UAA1 June</v>
          </cell>
        </row>
        <row r="196">
          <cell r="C196" t="str">
            <v>Work time potato (UAA1) - July</v>
          </cell>
          <cell r="I196" t="str">
            <v>indCr131.UAA1 July</v>
          </cell>
        </row>
        <row r="197">
          <cell r="C197" t="str">
            <v>Work time potato (UAA1) - Aug</v>
          </cell>
          <cell r="I197" t="str">
            <v>indCr132.UAA1 Aug</v>
          </cell>
        </row>
        <row r="198">
          <cell r="C198" t="str">
            <v>Work time potato (UAA1) - Sept</v>
          </cell>
          <cell r="I198" t="str">
            <v>indCr133.UAA1 Sept</v>
          </cell>
        </row>
        <row r="199">
          <cell r="C199" t="str">
            <v>Work time potato (UAA1) - Oct</v>
          </cell>
          <cell r="I199" t="str">
            <v>indCr134.UAA1 Oct</v>
          </cell>
        </row>
        <row r="200">
          <cell r="C200" t="str">
            <v>Work time potato (UAA1) - Nov</v>
          </cell>
          <cell r="I200" t="str">
            <v>indCr135.UAA1 Nov</v>
          </cell>
        </row>
        <row r="201">
          <cell r="C201" t="str">
            <v>Work time potato (UAA1) - Dec</v>
          </cell>
          <cell r="I201" t="str">
            <v>indCr136.UAA1 Dec</v>
          </cell>
        </row>
        <row r="202">
          <cell r="C202" t="str">
            <v>Work time rapeseed (UAA1) - Jan</v>
          </cell>
          <cell r="I202" t="str">
            <v>indCr137.UAA1 Jan</v>
          </cell>
        </row>
        <row r="203">
          <cell r="C203" t="str">
            <v>Work time rapeseed (UAA1) - Feb</v>
          </cell>
          <cell r="I203" t="str">
            <v>indCr138.UAA1 Feb</v>
          </cell>
        </row>
        <row r="204">
          <cell r="C204" t="str">
            <v>Work time rapeseed (UAA1) - March</v>
          </cell>
          <cell r="I204" t="str">
            <v>indCr139.UAA1 March</v>
          </cell>
        </row>
        <row r="205">
          <cell r="C205" t="str">
            <v>Work time rapeseed (UAA1) - Apr</v>
          </cell>
          <cell r="I205" t="str">
            <v>indCr140.UAA1 Apr</v>
          </cell>
        </row>
        <row r="206">
          <cell r="C206" t="str">
            <v>Work time rapeseed (UAA1) - May</v>
          </cell>
          <cell r="I206" t="str">
            <v>indCr141.UAA1 May</v>
          </cell>
        </row>
        <row r="207">
          <cell r="C207" t="str">
            <v>Work time rapeseed (UAA1) - June</v>
          </cell>
          <cell r="I207" t="str">
            <v>indCr142.UAA1 June</v>
          </cell>
        </row>
        <row r="208">
          <cell r="C208" t="str">
            <v>Work time rapeseed (UAA1) - July</v>
          </cell>
          <cell r="I208" t="str">
            <v>indCr143.UAA1 July</v>
          </cell>
        </row>
        <row r="209">
          <cell r="C209" t="str">
            <v>Work time rapeseed (UAA1) - Aug</v>
          </cell>
          <cell r="I209" t="str">
            <v>indCr144.UAA1 Aug</v>
          </cell>
        </row>
        <row r="210">
          <cell r="C210" t="str">
            <v>Work time rapeseed (UAA1) - Sept</v>
          </cell>
          <cell r="I210" t="str">
            <v>indCr145.UAA1 Sept</v>
          </cell>
        </row>
        <row r="211">
          <cell r="C211" t="str">
            <v>Work time rapeseed (UAA1) - Oct</v>
          </cell>
          <cell r="I211" t="str">
            <v>indCr146.UAA1 Oct</v>
          </cell>
        </row>
        <row r="212">
          <cell r="C212" t="str">
            <v>Work time rapeseed (UAA1) - Nov</v>
          </cell>
          <cell r="I212" t="str">
            <v>indCr147.UAA1 Nov</v>
          </cell>
        </row>
        <row r="213">
          <cell r="C213" t="str">
            <v>Work time rapeseed (UAA1) - Dec</v>
          </cell>
          <cell r="I213" t="str">
            <v>indCr148.UAA1 Dec</v>
          </cell>
        </row>
        <row r="214">
          <cell r="C214" t="str">
            <v>Work time pea (UAA1) - Jan</v>
          </cell>
          <cell r="I214" t="str">
            <v>indCr149.UAA1 Jan</v>
          </cell>
        </row>
        <row r="215">
          <cell r="C215" t="str">
            <v>Work time pea (UAA1) - Feb</v>
          </cell>
          <cell r="I215" t="str">
            <v>indCr150.UAA1 Feb</v>
          </cell>
        </row>
        <row r="216">
          <cell r="C216" t="str">
            <v>Work time pea (UAA1) - March</v>
          </cell>
          <cell r="I216" t="str">
            <v>indCr151.UAA1 March</v>
          </cell>
        </row>
        <row r="217">
          <cell r="C217" t="str">
            <v>Work time pea (UAA1) - Apr</v>
          </cell>
          <cell r="I217" t="str">
            <v>indCr152.UAA1 Apr</v>
          </cell>
        </row>
        <row r="218">
          <cell r="C218" t="str">
            <v>Work time pea (UAA1) - May</v>
          </cell>
          <cell r="I218" t="str">
            <v>indCr153.UAA1 May</v>
          </cell>
        </row>
        <row r="219">
          <cell r="C219" t="str">
            <v>Work time pea (UAA1) - June</v>
          </cell>
          <cell r="I219" t="str">
            <v>indCr154.UAA1 June</v>
          </cell>
        </row>
        <row r="220">
          <cell r="C220" t="str">
            <v>Work time pea (UAA1) - July</v>
          </cell>
          <cell r="I220" t="str">
            <v>indCr155.UAA1 July</v>
          </cell>
        </row>
        <row r="221">
          <cell r="C221" t="str">
            <v>Work time pea (UAA1) - Aug</v>
          </cell>
          <cell r="I221" t="str">
            <v>indCr156.UAA1 Aug</v>
          </cell>
        </row>
        <row r="222">
          <cell r="C222" t="str">
            <v>Work time pea (UAA1) - Sept</v>
          </cell>
          <cell r="I222" t="str">
            <v>indCr157.UAA1 Sept</v>
          </cell>
        </row>
        <row r="223">
          <cell r="C223" t="str">
            <v>Work time pea (UAA1) - Oct</v>
          </cell>
          <cell r="I223" t="str">
            <v>indCr158.UAA1 Oct</v>
          </cell>
        </row>
        <row r="224">
          <cell r="C224" t="str">
            <v>Work time pea (UAA1) - Nov</v>
          </cell>
          <cell r="I224" t="str">
            <v>indCr159.UAA1 Nov</v>
          </cell>
        </row>
        <row r="225">
          <cell r="C225" t="str">
            <v>Work time pea (UAA1) - Dec</v>
          </cell>
          <cell r="I225" t="str">
            <v>indCr160.UAA1 Dec</v>
          </cell>
        </row>
        <row r="226">
          <cell r="C226" t="str">
            <v>Work time faba bean (UAA1) - Jan</v>
          </cell>
          <cell r="I226" t="str">
            <v>indCr161.UAA1 Jan</v>
          </cell>
        </row>
        <row r="227">
          <cell r="C227" t="str">
            <v>Work time faba bean (UAA1) - Feb</v>
          </cell>
          <cell r="I227" t="str">
            <v>indCr162.UAA1 Feb</v>
          </cell>
        </row>
        <row r="228">
          <cell r="C228" t="str">
            <v>Work time faba bean (UAA1) - March</v>
          </cell>
          <cell r="I228" t="str">
            <v>indCr163.UAA1 March</v>
          </cell>
        </row>
        <row r="229">
          <cell r="C229" t="str">
            <v>Work time faba bean (UAA1) - Apr</v>
          </cell>
          <cell r="I229" t="str">
            <v>indCr164.UAA1 Apr</v>
          </cell>
        </row>
        <row r="230">
          <cell r="C230" t="str">
            <v>Work time faba bean (UAA1) - May</v>
          </cell>
          <cell r="I230" t="str">
            <v>indCr165.UAA1 May</v>
          </cell>
        </row>
        <row r="231">
          <cell r="C231" t="str">
            <v>Work time faba bean (UAA1) - June</v>
          </cell>
          <cell r="I231" t="str">
            <v>indCr166.UAA1 June</v>
          </cell>
        </row>
        <row r="232">
          <cell r="C232" t="str">
            <v>Work time faba bean (UAA1) - July</v>
          </cell>
          <cell r="I232" t="str">
            <v>indCr167.UAA1 July</v>
          </cell>
        </row>
        <row r="233">
          <cell r="C233" t="str">
            <v>Work time faba bean (UAA1) - Aug</v>
          </cell>
          <cell r="I233" t="str">
            <v>indCr168.UAA1 Aug</v>
          </cell>
        </row>
        <row r="234">
          <cell r="C234" t="str">
            <v>Work time faba bean (UAA1) - Sept</v>
          </cell>
          <cell r="I234" t="str">
            <v>indCr169.UAA1 Sept</v>
          </cell>
        </row>
        <row r="235">
          <cell r="C235" t="str">
            <v>Work time faba bean (UAA1) - Oct</v>
          </cell>
          <cell r="I235" t="str">
            <v>indCr170.UAA1 Oct</v>
          </cell>
        </row>
        <row r="236">
          <cell r="C236" t="str">
            <v>Work time faba bean (UAA1) - Nov</v>
          </cell>
          <cell r="I236" t="str">
            <v>indCr171.UAA1 Nov</v>
          </cell>
        </row>
        <row r="237">
          <cell r="C237" t="str">
            <v>Work time faba bean (UAA1) - Dec</v>
          </cell>
          <cell r="I237" t="str">
            <v>indCr172.UAA1 Dec</v>
          </cell>
        </row>
        <row r="238">
          <cell r="C238" t="str">
            <v>Work time maize (UAA1) - Jan</v>
          </cell>
          <cell r="I238" t="str">
            <v>indCr173.UAA1 Jan</v>
          </cell>
        </row>
        <row r="239">
          <cell r="C239" t="str">
            <v>Work time maize (UAA1) - Feb</v>
          </cell>
          <cell r="I239" t="str">
            <v>indCr174.UAA1 Feb</v>
          </cell>
        </row>
        <row r="240">
          <cell r="C240" t="str">
            <v>Work time maize (UAA1) - March</v>
          </cell>
          <cell r="I240" t="str">
            <v>indCr175.UAA1 March</v>
          </cell>
        </row>
        <row r="241">
          <cell r="C241" t="str">
            <v>Work time maize (UAA1) - Apr</v>
          </cell>
          <cell r="I241" t="str">
            <v>indCr176.UAA1 Apr</v>
          </cell>
        </row>
        <row r="242">
          <cell r="C242" t="str">
            <v>Work time maize (UAA1) - May</v>
          </cell>
          <cell r="I242" t="str">
            <v>indCr177.UAA1 May</v>
          </cell>
        </row>
        <row r="243">
          <cell r="C243" t="str">
            <v>Work time maize (UAA1) - June</v>
          </cell>
          <cell r="I243" t="str">
            <v>indCr178.UAA1 June</v>
          </cell>
        </row>
        <row r="244">
          <cell r="C244" t="str">
            <v>Work time maize (UAA1) - July</v>
          </cell>
          <cell r="I244" t="str">
            <v>indCr179.UAA1 July</v>
          </cell>
        </row>
        <row r="245">
          <cell r="C245" t="str">
            <v>Work time maize (UAA1) - Aug</v>
          </cell>
          <cell r="I245" t="str">
            <v>indCr180.UAA1 Aug</v>
          </cell>
        </row>
        <row r="246">
          <cell r="C246" t="str">
            <v>Work time maize (UAA1) - Sept</v>
          </cell>
          <cell r="I246" t="str">
            <v>indCr181.UAA1 Sept</v>
          </cell>
        </row>
        <row r="247">
          <cell r="C247" t="str">
            <v>Work time maize (UAA1) - Oct</v>
          </cell>
          <cell r="I247" t="str">
            <v>indCr182.UAA1 Oct</v>
          </cell>
        </row>
        <row r="248">
          <cell r="C248" t="str">
            <v>Work time maize (UAA1) - Nov</v>
          </cell>
          <cell r="I248" t="str">
            <v>indCr183.UAA1 Nov</v>
          </cell>
        </row>
        <row r="249">
          <cell r="C249" t="str">
            <v>Work time maize (UAA1) - Dec</v>
          </cell>
          <cell r="I249" t="str">
            <v>indCr184.UAA1 Dec</v>
          </cell>
        </row>
        <row r="250">
          <cell r="C250" t="str">
            <v>Work time alfalfa (UAA1) - Jan</v>
          </cell>
          <cell r="I250" t="str">
            <v>indCr185.UAA1 Jan</v>
          </cell>
        </row>
        <row r="251">
          <cell r="C251" t="str">
            <v>Work time alfalfa (UAA1) - Feb</v>
          </cell>
          <cell r="I251" t="str">
            <v>indCr186.UAA1 Feb</v>
          </cell>
        </row>
        <row r="252">
          <cell r="C252" t="str">
            <v>Work time alfalfa (UAA1) - March</v>
          </cell>
          <cell r="I252" t="str">
            <v>indCr187.UAA1 March</v>
          </cell>
        </row>
        <row r="253">
          <cell r="C253" t="str">
            <v>Work time alfalfa (UAA1) - Apr</v>
          </cell>
          <cell r="I253" t="str">
            <v>indCr188.UAA1 Apr</v>
          </cell>
        </row>
        <row r="254">
          <cell r="C254" t="str">
            <v>Work time alfalfa (UAA1) - May</v>
          </cell>
          <cell r="I254" t="str">
            <v>indCr189.UAA1 May</v>
          </cell>
        </row>
        <row r="255">
          <cell r="C255" t="str">
            <v>Work time alfalfa (UAA1) - June</v>
          </cell>
          <cell r="I255" t="str">
            <v>indCr190.UAA1 June</v>
          </cell>
        </row>
        <row r="256">
          <cell r="C256" t="str">
            <v>Work time alfalfa (UAA1) - July</v>
          </cell>
          <cell r="I256" t="str">
            <v>indCr191.UAA1 July</v>
          </cell>
        </row>
        <row r="257">
          <cell r="C257" t="str">
            <v>Work time alfalfa (UAA1) - Aug</v>
          </cell>
          <cell r="I257" t="str">
            <v>indCr192.UAA1 Aug</v>
          </cell>
        </row>
        <row r="258">
          <cell r="C258" t="str">
            <v>Work time alfalfa (UAA1) - Sept</v>
          </cell>
          <cell r="I258" t="str">
            <v>indCr193.UAA1 Sept</v>
          </cell>
        </row>
        <row r="259">
          <cell r="C259" t="str">
            <v>Work time alfalfa (UAA1) - Oct</v>
          </cell>
          <cell r="I259" t="str">
            <v>indCr194.UAA1 Oct</v>
          </cell>
        </row>
        <row r="260">
          <cell r="C260" t="str">
            <v>Work time alfalfa (UAA1) - Nov</v>
          </cell>
          <cell r="I260" t="str">
            <v>indCr195.UAA1 Nov</v>
          </cell>
        </row>
        <row r="261">
          <cell r="C261" t="str">
            <v>Work time alfalfa (UAA1) - Dec</v>
          </cell>
          <cell r="I261" t="str">
            <v>indCr196.UAA1 Dec</v>
          </cell>
        </row>
        <row r="262">
          <cell r="C262" t="str">
            <v>Work time sorghum (UAA1) - Jan</v>
          </cell>
          <cell r="I262" t="str">
            <v>indCr197.UAA1 Jan</v>
          </cell>
        </row>
        <row r="263">
          <cell r="C263" t="str">
            <v>Work time sorghum (UAA1) - Feb</v>
          </cell>
          <cell r="I263" t="str">
            <v>indCr198.UAA1 Feb</v>
          </cell>
        </row>
        <row r="264">
          <cell r="C264" t="str">
            <v>Work time sorghum (UAA1) - March</v>
          </cell>
          <cell r="I264" t="str">
            <v>indCr199.UAA1 March</v>
          </cell>
        </row>
        <row r="265">
          <cell r="C265" t="str">
            <v>Work time sorghum (UAA1) - Apr</v>
          </cell>
          <cell r="I265" t="str">
            <v>indCr200.UAA1 Apr</v>
          </cell>
        </row>
        <row r="266">
          <cell r="C266" t="str">
            <v>Work time sorghum (UAA1) - May</v>
          </cell>
          <cell r="I266" t="str">
            <v>indCr201.UAA1 May</v>
          </cell>
        </row>
        <row r="267">
          <cell r="C267" t="str">
            <v>Work time sorghum (UAA1) - June</v>
          </cell>
          <cell r="I267" t="str">
            <v>indCr202.UAA1 June</v>
          </cell>
        </row>
        <row r="268">
          <cell r="C268" t="str">
            <v>Work time sorghum (UAA1) - July</v>
          </cell>
          <cell r="I268" t="str">
            <v>indCr203.UAA1 July</v>
          </cell>
        </row>
        <row r="269">
          <cell r="C269" t="str">
            <v>Work time sorghum (UAA1) - Aug</v>
          </cell>
          <cell r="I269" t="str">
            <v>indCr204.UAA1 Aug</v>
          </cell>
        </row>
        <row r="270">
          <cell r="C270" t="str">
            <v>Work time sorghum (UAA1) - Sept</v>
          </cell>
          <cell r="I270" t="str">
            <v>indCr205.UAA1 Sept</v>
          </cell>
        </row>
        <row r="271">
          <cell r="C271" t="str">
            <v>Work time sorghum (UAA1) - Oct</v>
          </cell>
          <cell r="I271" t="str">
            <v>indCr206.UAA1 Oct</v>
          </cell>
        </row>
        <row r="272">
          <cell r="C272" t="str">
            <v>Work time sorghum (UAA1) - Nov</v>
          </cell>
          <cell r="I272" t="str">
            <v>indCr207.UAA1 Nov</v>
          </cell>
        </row>
        <row r="273">
          <cell r="C273" t="str">
            <v>Work time sorghum (UAA1) - Dec</v>
          </cell>
          <cell r="I273" t="str">
            <v>indCr208.UAA1 Dec</v>
          </cell>
        </row>
        <row r="274">
          <cell r="C274" t="str">
            <v>Work time TG (UAA1) - Jan</v>
          </cell>
          <cell r="I274" t="str">
            <v>indCr209.UAA1 Jan</v>
          </cell>
        </row>
        <row r="275">
          <cell r="C275" t="str">
            <v>Work time TG (UAA1) - Feb</v>
          </cell>
          <cell r="I275" t="str">
            <v>indCr210.UAA1 Feb</v>
          </cell>
        </row>
        <row r="276">
          <cell r="C276" t="str">
            <v>Work time TG (UAA1) - March</v>
          </cell>
          <cell r="I276" t="str">
            <v>indCr211.UAA1 March</v>
          </cell>
        </row>
        <row r="277">
          <cell r="C277" t="str">
            <v>Work time TG (UAA1) - Apr</v>
          </cell>
          <cell r="I277" t="str">
            <v>indCr212.UAA1 Apr</v>
          </cell>
        </row>
        <row r="278">
          <cell r="C278" t="str">
            <v>Work time TG (UAA1) - May</v>
          </cell>
          <cell r="I278" t="str">
            <v>indCr213.UAA1 May</v>
          </cell>
        </row>
        <row r="279">
          <cell r="C279" t="str">
            <v>Work time TG (UAA1) - June</v>
          </cell>
          <cell r="I279" t="str">
            <v>indCr214.UAA1 June</v>
          </cell>
        </row>
        <row r="280">
          <cell r="C280" t="str">
            <v>Work time TG (UAA1) - July</v>
          </cell>
          <cell r="I280" t="str">
            <v>indCr215.UAA1 July</v>
          </cell>
        </row>
        <row r="281">
          <cell r="C281" t="str">
            <v>Work time TG (UAA1) - Aug</v>
          </cell>
          <cell r="I281" t="str">
            <v>indCr216.UAA1 Aug</v>
          </cell>
        </row>
        <row r="282">
          <cell r="C282" t="str">
            <v>Work time TG (UAA1) - Sept</v>
          </cell>
          <cell r="I282" t="str">
            <v>indCr217.UAA1 Sept</v>
          </cell>
        </row>
        <row r="283">
          <cell r="C283" t="str">
            <v>Work time TG (UAA1) - Oct</v>
          </cell>
          <cell r="I283" t="str">
            <v>indCr218.UAA1 Oct</v>
          </cell>
        </row>
        <row r="284">
          <cell r="C284" t="str">
            <v>Work time TG (UAA1) - Nov</v>
          </cell>
          <cell r="I284" t="str">
            <v>indCr219.UAA1 Nov</v>
          </cell>
        </row>
        <row r="285">
          <cell r="C285" t="str">
            <v>Work time TG (UAA1) - Dec</v>
          </cell>
          <cell r="I285" t="str">
            <v>indCr220.UAA1 Dec</v>
          </cell>
        </row>
        <row r="286">
          <cell r="C286" t="str">
            <v>Work time wheat (UAA2) - Jan</v>
          </cell>
          <cell r="I286" t="str">
            <v>indCr89.UAA2 Jan</v>
          </cell>
        </row>
        <row r="287">
          <cell r="C287" t="str">
            <v>Work time wheat (UAA2) - Feb</v>
          </cell>
          <cell r="I287" t="str">
            <v>indCr90.UAA2 Feb</v>
          </cell>
        </row>
        <row r="288">
          <cell r="C288" t="str">
            <v>Work time wheat (UAA2) - March</v>
          </cell>
          <cell r="I288" t="str">
            <v>indCr91.UAA2 March</v>
          </cell>
        </row>
        <row r="289">
          <cell r="C289" t="str">
            <v>Work time wheat (UAA2) - Apr</v>
          </cell>
          <cell r="I289" t="str">
            <v>indCr92.UAA2 Apr</v>
          </cell>
        </row>
        <row r="290">
          <cell r="C290" t="str">
            <v>Work time wheat (UAA2) - May</v>
          </cell>
          <cell r="I290" t="str">
            <v>indCr93.UAA2 May</v>
          </cell>
        </row>
        <row r="291">
          <cell r="C291" t="str">
            <v>Work time wheat (UAA2) - June</v>
          </cell>
          <cell r="I291" t="str">
            <v>indCr94.UAA2 June</v>
          </cell>
        </row>
        <row r="292">
          <cell r="C292" t="str">
            <v>Work time wheat (UAA2) - July</v>
          </cell>
          <cell r="I292" t="str">
            <v>indCr95.UAA2 July</v>
          </cell>
        </row>
        <row r="293">
          <cell r="C293" t="str">
            <v>Work time wheat (UAA2) - Aug</v>
          </cell>
          <cell r="I293" t="str">
            <v>indCr96.UAA2 Aug</v>
          </cell>
        </row>
        <row r="294">
          <cell r="C294" t="str">
            <v>Work time wheat (UAA2) - Sept</v>
          </cell>
          <cell r="I294" t="str">
            <v>indCr97.UAA2 Sept</v>
          </cell>
        </row>
        <row r="295">
          <cell r="C295" t="str">
            <v>Work time wheat (UAA2) - Oct</v>
          </cell>
          <cell r="I295" t="str">
            <v>indCr98.UAA2 Oct</v>
          </cell>
        </row>
        <row r="296">
          <cell r="C296" t="str">
            <v>Work time wheat (UAA2) - Nov</v>
          </cell>
          <cell r="I296" t="str">
            <v>indCr99.UAA2 Nov</v>
          </cell>
        </row>
        <row r="297">
          <cell r="C297" t="str">
            <v>Work time wheat (UAA2) - Dec</v>
          </cell>
          <cell r="I297" t="str">
            <v>indCr100.UAA2 Dec</v>
          </cell>
        </row>
        <row r="298">
          <cell r="C298" t="str">
            <v>Work time barley (UAA2) - Jan</v>
          </cell>
          <cell r="I298" t="str">
            <v>indCr101.UAA2 Jan</v>
          </cell>
        </row>
        <row r="299">
          <cell r="C299" t="str">
            <v>Work time barley (UAA2) - Feb</v>
          </cell>
          <cell r="I299" t="str">
            <v>indCr102.UAA2 Feb</v>
          </cell>
        </row>
        <row r="300">
          <cell r="C300" t="str">
            <v>Work time barley (UAA2) - March</v>
          </cell>
          <cell r="I300" t="str">
            <v>indCr103.UAA2 March</v>
          </cell>
        </row>
        <row r="301">
          <cell r="C301" t="str">
            <v>Work time barley (UAA2) - Apr</v>
          </cell>
          <cell r="I301" t="str">
            <v>indCr104.UAA2 Apr</v>
          </cell>
        </row>
        <row r="302">
          <cell r="C302" t="str">
            <v>Work time barley (UAA2) - May</v>
          </cell>
          <cell r="I302" t="str">
            <v>indCr105.UAA2 May</v>
          </cell>
        </row>
        <row r="303">
          <cell r="C303" t="str">
            <v>Work time barley (UAA2) - June</v>
          </cell>
          <cell r="I303" t="str">
            <v>indCr106.UAA2 June</v>
          </cell>
        </row>
        <row r="304">
          <cell r="C304" t="str">
            <v>Work time barley (UAA2) - July</v>
          </cell>
          <cell r="I304" t="str">
            <v>indCr107.UAA2 July</v>
          </cell>
        </row>
        <row r="305">
          <cell r="C305" t="str">
            <v>Work time barley (UAA2) - Aug</v>
          </cell>
          <cell r="I305" t="str">
            <v>indCr108.UAA2 Aug</v>
          </cell>
        </row>
        <row r="306">
          <cell r="C306" t="str">
            <v>Work time barley (UAA2) - Sept</v>
          </cell>
          <cell r="I306" t="str">
            <v>indCr109.UAA2 Sept</v>
          </cell>
        </row>
        <row r="307">
          <cell r="C307" t="str">
            <v>Work time barley (UAA2) - Oct</v>
          </cell>
          <cell r="I307" t="str">
            <v>indCr110.UAA2 Oct</v>
          </cell>
        </row>
        <row r="308">
          <cell r="C308" t="str">
            <v>Work time barley (UAA2) - Nov</v>
          </cell>
          <cell r="I308" t="str">
            <v>indCr111.UAA2 Nov</v>
          </cell>
        </row>
        <row r="309">
          <cell r="C309" t="str">
            <v>Work time barley (UAA2) - Dec</v>
          </cell>
          <cell r="I309" t="str">
            <v>indCr112.UAA2 Dec</v>
          </cell>
        </row>
        <row r="310">
          <cell r="C310" t="str">
            <v>Work time sugar beet (UAA2) - Jan</v>
          </cell>
          <cell r="I310" t="str">
            <v>indCr113.UAA2 Jan</v>
          </cell>
        </row>
        <row r="311">
          <cell r="C311" t="str">
            <v>Work time sugar beet (UAA2) - Feb</v>
          </cell>
          <cell r="I311" t="str">
            <v>indCr114.UAA2 Feb</v>
          </cell>
        </row>
        <row r="312">
          <cell r="C312" t="str">
            <v>Work time sugar beet (UAA2) - March</v>
          </cell>
          <cell r="I312" t="str">
            <v>indCr115.UAA2 March</v>
          </cell>
        </row>
        <row r="313">
          <cell r="C313" t="str">
            <v>Work time sugar beet (UAA2) - Apr</v>
          </cell>
          <cell r="I313" t="str">
            <v>indCr116.UAA2 Apr</v>
          </cell>
        </row>
        <row r="314">
          <cell r="C314" t="str">
            <v>Work time sugar beet (UAA2) - May</v>
          </cell>
          <cell r="I314" t="str">
            <v>indCr117.UAA2 May</v>
          </cell>
        </row>
        <row r="315">
          <cell r="C315" t="str">
            <v>Work time sugar beet (UAA2) - June</v>
          </cell>
          <cell r="I315" t="str">
            <v>indCr118.UAA2 June</v>
          </cell>
        </row>
        <row r="316">
          <cell r="C316" t="str">
            <v>Work time sugar beet (UAA2) - July</v>
          </cell>
          <cell r="I316" t="str">
            <v>indCr119.UAA2 July</v>
          </cell>
        </row>
        <row r="317">
          <cell r="C317" t="str">
            <v>Work time sugar beet (UAA2) - Aug</v>
          </cell>
          <cell r="I317" t="str">
            <v>indCr120.UAA2 Aug</v>
          </cell>
        </row>
        <row r="318">
          <cell r="C318" t="str">
            <v>Work time sugar beet (UAA2) - Sept</v>
          </cell>
          <cell r="I318" t="str">
            <v>indCr121.UAA2 Sept</v>
          </cell>
        </row>
        <row r="319">
          <cell r="C319" t="str">
            <v>Work time sugar beet (UAA2) - Oct</v>
          </cell>
          <cell r="I319" t="str">
            <v>indCr122.UAA2 Oct</v>
          </cell>
        </row>
        <row r="320">
          <cell r="C320" t="str">
            <v>Work time sugar beet (UAA2) - Nov</v>
          </cell>
          <cell r="I320" t="str">
            <v>indCr123.UAA2 Nov</v>
          </cell>
        </row>
        <row r="321">
          <cell r="C321" t="str">
            <v>Work time sugar beet (UAA2) - Dec</v>
          </cell>
          <cell r="I321" t="str">
            <v>indCr124.UAA2 Dec</v>
          </cell>
        </row>
        <row r="322">
          <cell r="C322" t="str">
            <v>Work time potato (UAA2) - Jan</v>
          </cell>
          <cell r="I322" t="str">
            <v>indCr125.UAA2 Jan</v>
          </cell>
        </row>
        <row r="323">
          <cell r="C323" t="str">
            <v>Work time potato (UAA2) - Feb</v>
          </cell>
          <cell r="I323" t="str">
            <v>indCr126.UAA2 Feb</v>
          </cell>
        </row>
        <row r="324">
          <cell r="C324" t="str">
            <v>Work time potato (UAA2) - March</v>
          </cell>
          <cell r="I324" t="str">
            <v>indCr127.UAA2 March</v>
          </cell>
        </row>
        <row r="325">
          <cell r="C325" t="str">
            <v>Work time potato (UAA2) - Apr</v>
          </cell>
          <cell r="I325" t="str">
            <v>indCr128.UAA2 Apr</v>
          </cell>
        </row>
        <row r="326">
          <cell r="C326" t="str">
            <v>Work time potato (UAA2) - May</v>
          </cell>
          <cell r="I326" t="str">
            <v>indCr129.UAA2 May</v>
          </cell>
        </row>
        <row r="327">
          <cell r="C327" t="str">
            <v>Work time potato (UAA2) - June</v>
          </cell>
          <cell r="I327" t="str">
            <v>indCr130.UAA2 June</v>
          </cell>
        </row>
        <row r="328">
          <cell r="C328" t="str">
            <v>Work time potato (UAA2) - July</v>
          </cell>
          <cell r="I328" t="str">
            <v>indCr131.UAA2 July</v>
          </cell>
        </row>
        <row r="329">
          <cell r="C329" t="str">
            <v>Work time potato (UAA2) - Aug</v>
          </cell>
          <cell r="I329" t="str">
            <v>indCr132.UAA2 Aug</v>
          </cell>
        </row>
        <row r="330">
          <cell r="C330" t="str">
            <v>Work time potato (UAA2) - Sept</v>
          </cell>
          <cell r="I330" t="str">
            <v>indCr133.UAA2 Sept</v>
          </cell>
        </row>
        <row r="331">
          <cell r="C331" t="str">
            <v>Work time potato (UAA2) - Oct</v>
          </cell>
          <cell r="I331" t="str">
            <v>indCr134.UAA2 Oct</v>
          </cell>
        </row>
        <row r="332">
          <cell r="C332" t="str">
            <v>Work time potato (UAA2) - Nov</v>
          </cell>
          <cell r="I332" t="str">
            <v>indCr135.UAA2 Nov</v>
          </cell>
        </row>
        <row r="333">
          <cell r="C333" t="str">
            <v>Work time potato (UAA2) - Dec</v>
          </cell>
          <cell r="I333" t="str">
            <v>indCr136.UAA2 Dec</v>
          </cell>
        </row>
        <row r="334">
          <cell r="C334" t="str">
            <v>Work time rapeseed (UAA2) - Jan</v>
          </cell>
          <cell r="I334" t="str">
            <v>indCr137.UAA2 Jan</v>
          </cell>
        </row>
        <row r="335">
          <cell r="C335" t="str">
            <v>Work time rapeseed (UAA2) - Feb</v>
          </cell>
          <cell r="I335" t="str">
            <v>indCr138.UAA2 Feb</v>
          </cell>
        </row>
        <row r="336">
          <cell r="C336" t="str">
            <v>Work time rapeseed (UAA2) - March</v>
          </cell>
          <cell r="I336" t="str">
            <v>indCr139.UAA2 March</v>
          </cell>
        </row>
        <row r="337">
          <cell r="C337" t="str">
            <v>Work time rapeseed (UAA2) - Apr</v>
          </cell>
          <cell r="I337" t="str">
            <v>indCr140.UAA2 Apr</v>
          </cell>
        </row>
        <row r="338">
          <cell r="C338" t="str">
            <v>Work time rapeseed (UAA2) - May</v>
          </cell>
          <cell r="I338" t="str">
            <v>indCr141.UAA2 May</v>
          </cell>
        </row>
        <row r="339">
          <cell r="C339" t="str">
            <v>Work time rapeseed (UAA2) - June</v>
          </cell>
          <cell r="I339" t="str">
            <v>indCr142.UAA2 June</v>
          </cell>
        </row>
        <row r="340">
          <cell r="C340" t="str">
            <v>Work time rapeseed (UAA2) - July</v>
          </cell>
          <cell r="I340" t="str">
            <v>indCr143.UAA2 July</v>
          </cell>
        </row>
        <row r="341">
          <cell r="C341" t="str">
            <v>Work time rapeseed (UAA2) - Aug</v>
          </cell>
          <cell r="I341" t="str">
            <v>indCr144.UAA2 Aug</v>
          </cell>
        </row>
        <row r="342">
          <cell r="C342" t="str">
            <v>Work time rapeseed (UAA2) - Sept</v>
          </cell>
          <cell r="I342" t="str">
            <v>indCr145.UAA2 Sept</v>
          </cell>
        </row>
        <row r="343">
          <cell r="C343" t="str">
            <v>Work time rapeseed (UAA2) - Oct</v>
          </cell>
          <cell r="I343" t="str">
            <v>indCr146.UAA2 Oct</v>
          </cell>
        </row>
        <row r="344">
          <cell r="C344" t="str">
            <v>Work time rapeseed (UAA2) - Nov</v>
          </cell>
          <cell r="I344" t="str">
            <v>indCr147.UAA2 Nov</v>
          </cell>
        </row>
        <row r="345">
          <cell r="C345" t="str">
            <v>Work time rapeseed (UAA2) - Dec</v>
          </cell>
          <cell r="I345" t="str">
            <v>indCr148.UAA2 Dec</v>
          </cell>
        </row>
        <row r="346">
          <cell r="C346" t="str">
            <v>Work time pea (UAA2) - Jan</v>
          </cell>
          <cell r="I346" t="str">
            <v>indCr149.UAA2 Jan</v>
          </cell>
        </row>
        <row r="347">
          <cell r="C347" t="str">
            <v>Work time pea (UAA2) - Feb</v>
          </cell>
          <cell r="I347" t="str">
            <v>indCr150.UAA2 Feb</v>
          </cell>
        </row>
        <row r="348">
          <cell r="C348" t="str">
            <v>Work time pea (UAA2) - March</v>
          </cell>
          <cell r="I348" t="str">
            <v>indCr151.UAA2 March</v>
          </cell>
        </row>
        <row r="349">
          <cell r="C349" t="str">
            <v>Work time pea (UAA2) - Apr</v>
          </cell>
          <cell r="I349" t="str">
            <v>indCr152.UAA2 Apr</v>
          </cell>
        </row>
        <row r="350">
          <cell r="C350" t="str">
            <v>Work time pea (UAA2) - May</v>
          </cell>
          <cell r="I350" t="str">
            <v>indCr153.UAA2 May</v>
          </cell>
        </row>
        <row r="351">
          <cell r="C351" t="str">
            <v>Work time pea (UAA2) - June</v>
          </cell>
          <cell r="I351" t="str">
            <v>indCr154.UAA2 June</v>
          </cell>
        </row>
        <row r="352">
          <cell r="C352" t="str">
            <v>Work time pea (UAA2) - July</v>
          </cell>
          <cell r="I352" t="str">
            <v>indCr155.UAA2 July</v>
          </cell>
        </row>
        <row r="353">
          <cell r="C353" t="str">
            <v>Work time pea (UAA2) - Aug</v>
          </cell>
          <cell r="I353" t="str">
            <v>indCr156.UAA2 Aug</v>
          </cell>
        </row>
        <row r="354">
          <cell r="C354" t="str">
            <v>Work time pea (UAA2) - Sept</v>
          </cell>
          <cell r="I354" t="str">
            <v>indCr157.UAA2 Sept</v>
          </cell>
        </row>
        <row r="355">
          <cell r="C355" t="str">
            <v>Work time pea (UAA2) - Oct</v>
          </cell>
          <cell r="I355" t="str">
            <v>indCr158.UAA2 Oct</v>
          </cell>
        </row>
        <row r="356">
          <cell r="C356" t="str">
            <v>Work time pea (UAA2) - Nov</v>
          </cell>
          <cell r="I356" t="str">
            <v>indCr159.UAA2 Nov</v>
          </cell>
        </row>
        <row r="357">
          <cell r="C357" t="str">
            <v>Work time pea (UAA2) - Dec</v>
          </cell>
          <cell r="I357" t="str">
            <v>indCr160.UAA2 Dec</v>
          </cell>
        </row>
        <row r="358">
          <cell r="C358" t="str">
            <v>Work time faba bean (UAA2) - Jan</v>
          </cell>
          <cell r="I358" t="str">
            <v>indCr161.UAA2 Jan</v>
          </cell>
        </row>
        <row r="359">
          <cell r="C359" t="str">
            <v>Work time faba bean (UAA2) - Feb</v>
          </cell>
          <cell r="I359" t="str">
            <v>indCr162.UAA2 Feb</v>
          </cell>
        </row>
        <row r="360">
          <cell r="C360" t="str">
            <v>Work time faba bean (UAA2) - March</v>
          </cell>
          <cell r="I360" t="str">
            <v>indCr163.UAA2 March</v>
          </cell>
        </row>
        <row r="361">
          <cell r="C361" t="str">
            <v>Work time faba bean (UAA2) - Apr</v>
          </cell>
          <cell r="I361" t="str">
            <v>indCr164.UAA2 Apr</v>
          </cell>
        </row>
        <row r="362">
          <cell r="C362" t="str">
            <v>Work time faba bean (UAA2) - May</v>
          </cell>
          <cell r="I362" t="str">
            <v>indCr165.UAA2 May</v>
          </cell>
        </row>
        <row r="363">
          <cell r="C363" t="str">
            <v>Work time faba bean (UAA2) - June</v>
          </cell>
          <cell r="I363" t="str">
            <v>indCr166.UAA2 June</v>
          </cell>
        </row>
        <row r="364">
          <cell r="C364" t="str">
            <v>Work time faba bean (UAA2) - July</v>
          </cell>
          <cell r="I364" t="str">
            <v>indCr167.UAA2 July</v>
          </cell>
        </row>
        <row r="365">
          <cell r="C365" t="str">
            <v>Work time faba bean (UAA2) - Aug</v>
          </cell>
          <cell r="I365" t="str">
            <v>indCr168.UAA2 Aug</v>
          </cell>
        </row>
        <row r="366">
          <cell r="C366" t="str">
            <v>Work time faba bean (UAA2) - Sept</v>
          </cell>
          <cell r="I366" t="str">
            <v>indCr169.UAA2 Sept</v>
          </cell>
        </row>
        <row r="367">
          <cell r="C367" t="str">
            <v>Work time faba bean (UAA2) - Oct</v>
          </cell>
          <cell r="I367" t="str">
            <v>indCr170.UAA2 Oct</v>
          </cell>
        </row>
        <row r="368">
          <cell r="C368" t="str">
            <v>Work time faba bean (UAA2) - Nov</v>
          </cell>
          <cell r="I368" t="str">
            <v>indCr171.UAA2 Nov</v>
          </cell>
        </row>
        <row r="369">
          <cell r="C369" t="str">
            <v>Work time faba bean (UAA2) - Dec</v>
          </cell>
          <cell r="I369" t="str">
            <v>indCr172.UAA2 Dec</v>
          </cell>
        </row>
        <row r="370">
          <cell r="C370" t="str">
            <v>Work time maize (UAA2) - Jan</v>
          </cell>
          <cell r="I370" t="str">
            <v>indCr173.UAA2 Jan</v>
          </cell>
        </row>
        <row r="371">
          <cell r="C371" t="str">
            <v>Work time maize (UAA2) - Feb</v>
          </cell>
          <cell r="I371" t="str">
            <v>indCr174.UAA2 Feb</v>
          </cell>
        </row>
        <row r="372">
          <cell r="C372" t="str">
            <v>Work time maize (UAA2) - March</v>
          </cell>
          <cell r="I372" t="str">
            <v>indCr175.UAA2 March</v>
          </cell>
        </row>
        <row r="373">
          <cell r="C373" t="str">
            <v>Work time maize (UAA2) - Apr</v>
          </cell>
          <cell r="I373" t="str">
            <v>indCr176.UAA2 Apr</v>
          </cell>
        </row>
        <row r="374">
          <cell r="C374" t="str">
            <v>Work time maize (UAA2) - May</v>
          </cell>
          <cell r="I374" t="str">
            <v>indCr177.UAA2 May</v>
          </cell>
        </row>
        <row r="375">
          <cell r="C375" t="str">
            <v>Work time maize (UAA2) - June</v>
          </cell>
          <cell r="I375" t="str">
            <v>indCr178.UAA2 June</v>
          </cell>
        </row>
        <row r="376">
          <cell r="C376" t="str">
            <v>Work time maize (UAA2) - July</v>
          </cell>
          <cell r="I376" t="str">
            <v>indCr179.UAA2 July</v>
          </cell>
        </row>
        <row r="377">
          <cell r="C377" t="str">
            <v>Work time maize (UAA2) - Aug</v>
          </cell>
          <cell r="I377" t="str">
            <v>indCr180.UAA2 Aug</v>
          </cell>
        </row>
        <row r="378">
          <cell r="C378" t="str">
            <v>Work time maize (UAA2) - Sept</v>
          </cell>
          <cell r="I378" t="str">
            <v>indCr181.UAA2 Sept</v>
          </cell>
        </row>
        <row r="379">
          <cell r="C379" t="str">
            <v>Work time maize (UAA2) - Oct</v>
          </cell>
          <cell r="I379" t="str">
            <v>indCr182.UAA2 Oct</v>
          </cell>
        </row>
        <row r="380">
          <cell r="C380" t="str">
            <v>Work time maize (UAA2) - Nov</v>
          </cell>
          <cell r="I380" t="str">
            <v>indCr183.UAA2 Nov</v>
          </cell>
        </row>
        <row r="381">
          <cell r="C381" t="str">
            <v>Work time maize (UAA2) - Dec</v>
          </cell>
          <cell r="I381" t="str">
            <v>indCr184.UAA2 Dec</v>
          </cell>
        </row>
        <row r="382">
          <cell r="C382" t="str">
            <v>Work time alfalfa (UAA2) - Jan</v>
          </cell>
          <cell r="I382" t="str">
            <v>indCr185.UAA2 Jan</v>
          </cell>
        </row>
        <row r="383">
          <cell r="C383" t="str">
            <v>Work time alfalfa (UAA2) - Feb</v>
          </cell>
          <cell r="I383" t="str">
            <v>indCr186.UAA2 Feb</v>
          </cell>
        </row>
        <row r="384">
          <cell r="C384" t="str">
            <v>Work time alfalfa (UAA2) - March</v>
          </cell>
          <cell r="I384" t="str">
            <v>indCr187.UAA2 March</v>
          </cell>
        </row>
        <row r="385">
          <cell r="C385" t="str">
            <v>Work time alfalfa (UAA2) - Apr</v>
          </cell>
          <cell r="I385" t="str">
            <v>indCr188.UAA2 Apr</v>
          </cell>
        </row>
        <row r="386">
          <cell r="C386" t="str">
            <v>Work time alfalfa (UAA2) - May</v>
          </cell>
          <cell r="I386" t="str">
            <v>indCr189.UAA2 May</v>
          </cell>
        </row>
        <row r="387">
          <cell r="C387" t="str">
            <v>Work time alfalfa (UAA2) - June</v>
          </cell>
          <cell r="I387" t="str">
            <v>indCr190.UAA2 June</v>
          </cell>
        </row>
        <row r="388">
          <cell r="C388" t="str">
            <v>Work time alfalfa (UAA2) - July</v>
          </cell>
          <cell r="I388" t="str">
            <v>indCr191.UAA2 July</v>
          </cell>
        </row>
        <row r="389">
          <cell r="C389" t="str">
            <v>Work time alfalfa (UAA2) - Aug</v>
          </cell>
          <cell r="I389" t="str">
            <v>indCr192.UAA2 Aug</v>
          </cell>
        </row>
        <row r="390">
          <cell r="C390" t="str">
            <v>Work time alfalfa (UAA2) - Sept</v>
          </cell>
          <cell r="I390" t="str">
            <v>indCr193.UAA2 Sept</v>
          </cell>
        </row>
        <row r="391">
          <cell r="C391" t="str">
            <v>Work time alfalfa (UAA2) - Oct</v>
          </cell>
          <cell r="I391" t="str">
            <v>indCr194.UAA2 Oct</v>
          </cell>
        </row>
        <row r="392">
          <cell r="C392" t="str">
            <v>Work time alfalfa (UAA2) - Nov</v>
          </cell>
          <cell r="I392" t="str">
            <v>indCr195.UAA2 Nov</v>
          </cell>
        </row>
        <row r="393">
          <cell r="C393" t="str">
            <v>Work time alfalfa (UAA2) - Dec</v>
          </cell>
          <cell r="I393" t="str">
            <v>indCr196.UAA2 Dec</v>
          </cell>
        </row>
        <row r="394">
          <cell r="C394" t="str">
            <v>Work time sorghum (UAA2) - Jan</v>
          </cell>
          <cell r="I394" t="str">
            <v>indCr197.UAA2 Jan</v>
          </cell>
        </row>
        <row r="395">
          <cell r="C395" t="str">
            <v>Work time sorghum (UAA2) - Feb</v>
          </cell>
          <cell r="I395" t="str">
            <v>indCr198.UAA2 Feb</v>
          </cell>
        </row>
        <row r="396">
          <cell r="C396" t="str">
            <v>Work time sorghum (UAA2) - March</v>
          </cell>
          <cell r="I396" t="str">
            <v>indCr199.UAA2 March</v>
          </cell>
        </row>
        <row r="397">
          <cell r="C397" t="str">
            <v>Work time sorghum (UAA2) - Apr</v>
          </cell>
          <cell r="I397" t="str">
            <v>indCr200.UAA2 Apr</v>
          </cell>
        </row>
        <row r="398">
          <cell r="C398" t="str">
            <v>Work time sorghum (UAA2) - May</v>
          </cell>
          <cell r="I398" t="str">
            <v>indCr201.UAA2 May</v>
          </cell>
        </row>
        <row r="399">
          <cell r="C399" t="str">
            <v>Work time sorghum (UAA2) - June</v>
          </cell>
          <cell r="I399" t="str">
            <v>indCr202.UAA2 June</v>
          </cell>
        </row>
        <row r="400">
          <cell r="C400" t="str">
            <v>Work time sorghum (UAA2) - July</v>
          </cell>
          <cell r="I400" t="str">
            <v>indCr203.UAA2 July</v>
          </cell>
        </row>
        <row r="401">
          <cell r="C401" t="str">
            <v>Work time sorghum (UAA2) - Aug</v>
          </cell>
          <cell r="I401" t="str">
            <v>indCr204.UAA2 Aug</v>
          </cell>
        </row>
        <row r="402">
          <cell r="C402" t="str">
            <v>Work time sorghum (UAA2) - Sept</v>
          </cell>
          <cell r="I402" t="str">
            <v>indCr205.UAA2 Sept</v>
          </cell>
        </row>
        <row r="403">
          <cell r="C403" t="str">
            <v>Work time sorghum (UAA2) - Oct</v>
          </cell>
          <cell r="I403" t="str">
            <v>indCr206.UAA2 Oct</v>
          </cell>
        </row>
        <row r="404">
          <cell r="C404" t="str">
            <v>Work time sorghum (UAA2) - Nov</v>
          </cell>
          <cell r="I404" t="str">
            <v>indCr207.UAA2 Nov</v>
          </cell>
        </row>
        <row r="405">
          <cell r="C405" t="str">
            <v>Work time sorghum (UAA2) - Dec</v>
          </cell>
          <cell r="I405" t="str">
            <v>indCr208.UAA2 Dec</v>
          </cell>
        </row>
        <row r="406">
          <cell r="C406" t="str">
            <v>Work time TG (UAA2) - Jan</v>
          </cell>
          <cell r="I406" t="str">
            <v>indCr209.UAA2 Jan</v>
          </cell>
        </row>
        <row r="407">
          <cell r="C407" t="str">
            <v>Work time TG (UAA2) - Feb</v>
          </cell>
          <cell r="I407" t="str">
            <v>indCr210.UAA2 Feb</v>
          </cell>
        </row>
        <row r="408">
          <cell r="C408" t="str">
            <v>Work time TG (UAA2) - March</v>
          </cell>
          <cell r="I408" t="str">
            <v>indCr211.UAA2 March</v>
          </cell>
        </row>
        <row r="409">
          <cell r="C409" t="str">
            <v>Work time TG (UAA2) - Apr</v>
          </cell>
          <cell r="I409" t="str">
            <v>indCr212.UAA2 Apr</v>
          </cell>
        </row>
        <row r="410">
          <cell r="C410" t="str">
            <v>Work time TG (UAA2) - May</v>
          </cell>
          <cell r="I410" t="str">
            <v>indCr213.UAA2 May</v>
          </cell>
        </row>
        <row r="411">
          <cell r="C411" t="str">
            <v>Work time TG (UAA2) - June</v>
          </cell>
          <cell r="I411" t="str">
            <v>indCr214.UAA2 June</v>
          </cell>
        </row>
        <row r="412">
          <cell r="C412" t="str">
            <v>Work time TG (UAA2) - July</v>
          </cell>
          <cell r="I412" t="str">
            <v>indCr215.UAA2 July</v>
          </cell>
        </row>
        <row r="413">
          <cell r="C413" t="str">
            <v>Work time TG (UAA2) - Aug</v>
          </cell>
          <cell r="I413" t="str">
            <v>indCr216.UAA2 Aug</v>
          </cell>
        </row>
        <row r="414">
          <cell r="C414" t="str">
            <v>Work time TG (UAA2) - Sept</v>
          </cell>
          <cell r="I414" t="str">
            <v>indCr217.UAA2 Sept</v>
          </cell>
        </row>
        <row r="415">
          <cell r="C415" t="str">
            <v>Work time TG (UAA2) - Oct</v>
          </cell>
          <cell r="I415" t="str">
            <v>indCr218.UAA2 Oct</v>
          </cell>
        </row>
        <row r="416">
          <cell r="C416" t="str">
            <v>Work time TG (UAA2) - Nov</v>
          </cell>
          <cell r="I416" t="str">
            <v>indCr219.UAA2 Nov</v>
          </cell>
        </row>
        <row r="417">
          <cell r="C417" t="str">
            <v>Work time TG (UAA2) - Dec</v>
          </cell>
          <cell r="I417" t="str">
            <v>indCr220.UAA2 Dec</v>
          </cell>
        </row>
        <row r="418">
          <cell r="C418" t="str">
            <v>Work time PG - Jan</v>
          </cell>
          <cell r="I418" t="str">
            <v>indCr221</v>
          </cell>
        </row>
        <row r="419">
          <cell r="C419" t="str">
            <v>Work time PG - Feb</v>
          </cell>
          <cell r="I419" t="str">
            <v>indCr222</v>
          </cell>
        </row>
        <row r="420">
          <cell r="C420" t="str">
            <v>Work time PG - March</v>
          </cell>
          <cell r="I420" t="str">
            <v>indCr223</v>
          </cell>
        </row>
        <row r="421">
          <cell r="C421" t="str">
            <v>Work time PG - Apr</v>
          </cell>
          <cell r="I421" t="str">
            <v>indCr224</v>
          </cell>
        </row>
        <row r="422">
          <cell r="C422" t="str">
            <v>Work time PG - May</v>
          </cell>
          <cell r="I422" t="str">
            <v>indCr225</v>
          </cell>
        </row>
        <row r="423">
          <cell r="C423" t="str">
            <v>Work time PG - June</v>
          </cell>
          <cell r="I423" t="str">
            <v>indCr226</v>
          </cell>
        </row>
        <row r="424">
          <cell r="C424" t="str">
            <v>Work time PG - July</v>
          </cell>
          <cell r="I424" t="str">
            <v>indCr227</v>
          </cell>
        </row>
        <row r="425">
          <cell r="C425" t="str">
            <v>Work time PG - Aug</v>
          </cell>
          <cell r="I425" t="str">
            <v>indCr228</v>
          </cell>
        </row>
        <row r="426">
          <cell r="C426" t="str">
            <v>Work time PG - Sept</v>
          </cell>
          <cell r="I426" t="str">
            <v>indCr229</v>
          </cell>
        </row>
        <row r="427">
          <cell r="C427" t="str">
            <v>Work time PG - Oct</v>
          </cell>
          <cell r="I427" t="str">
            <v>indCr230</v>
          </cell>
        </row>
        <row r="428">
          <cell r="C428" t="str">
            <v>Work time PG - Nov</v>
          </cell>
          <cell r="I428" t="str">
            <v>indCr231</v>
          </cell>
        </row>
        <row r="429">
          <cell r="C429" t="str">
            <v>Work time PG - Dec</v>
          </cell>
          <cell r="I429" t="str">
            <v>indCr232</v>
          </cell>
        </row>
        <row r="430">
          <cell r="C430" t="str">
            <v>Water quality pesticides (UAA1)</v>
          </cell>
          <cell r="I430" t="str">
            <v>indCr233.UAA1</v>
          </cell>
        </row>
        <row r="431">
          <cell r="C431" t="str">
            <v>Water quality pesticides (UAA2)</v>
          </cell>
          <cell r="I431" t="str">
            <v>indCr233.UAA2</v>
          </cell>
        </row>
        <row r="432">
          <cell r="C432" t="str">
            <v>Water quality pesticides (PG)</v>
          </cell>
          <cell r="I432" t="str">
            <v>indCr234</v>
          </cell>
        </row>
        <row r="433">
          <cell r="C433" t="str">
            <v>Water quality nitrates (UAA1)</v>
          </cell>
          <cell r="I433" t="str">
            <v>indCr235.UAA1</v>
          </cell>
        </row>
        <row r="434">
          <cell r="C434" t="str">
            <v>Water quality nitrates (UAA2)</v>
          </cell>
          <cell r="I434" t="str">
            <v>indCr235.UAA2</v>
          </cell>
        </row>
        <row r="435">
          <cell r="C435" t="str">
            <v>Water quality nitrates (PG)</v>
          </cell>
          <cell r="I435" t="str">
            <v>indCr236</v>
          </cell>
        </row>
        <row r="436">
          <cell r="C436" t="str">
            <v>Various costs for crop production (UAA1)</v>
          </cell>
          <cell r="I436" t="str">
            <v>indEc1.UAA1</v>
          </cell>
        </row>
        <row r="437">
          <cell r="C437" t="str">
            <v>Various costs for crop production (UAA2)</v>
          </cell>
          <cell r="I437" t="str">
            <v>indEc1.UAA2</v>
          </cell>
        </row>
        <row r="438">
          <cell r="C438" t="str">
            <v>Susbsidies, 1&lt;sup&gt;st&lt;/sup&gt; pillar of the CAP</v>
          </cell>
          <cell r="I438" t="str">
            <v>indEc2</v>
          </cell>
        </row>
        <row r="439">
          <cell r="C439" t="str">
            <v>Susbsidies, 2&lt;sup&gt;nd&lt;/sup&gt; pillar of the CAP</v>
          </cell>
          <cell r="I439" t="str">
            <v>indEc3</v>
          </cell>
        </row>
        <row r="440">
          <cell r="C440" t="str">
            <v>Investment capacity</v>
          </cell>
          <cell r="I440" t="str">
            <v>indEc4</v>
          </cell>
        </row>
        <row r="441">
          <cell r="C441" t="str">
            <v>Average number of dairy cows</v>
          </cell>
          <cell r="I441" t="str">
            <v>indAn1</v>
          </cell>
        </row>
        <row r="442">
          <cell r="C442" t="str">
            <v>Average number of heifers</v>
          </cell>
          <cell r="I442" t="str">
            <v>indAn2</v>
          </cell>
        </row>
        <row r="443">
          <cell r="C443" t="str">
            <v>Average number of bulls and steers</v>
          </cell>
          <cell r="I443" t="str">
            <v>indAn3</v>
          </cell>
        </row>
        <row r="444">
          <cell r="C444" t="str">
            <v>Average number of calves</v>
          </cell>
          <cell r="I444" t="str">
            <v>indAn4</v>
          </cell>
        </row>
        <row r="445">
          <cell r="C445" t="str">
            <v>Number of culled cows sold</v>
          </cell>
          <cell r="I445" t="str">
            <v>indAn5</v>
          </cell>
        </row>
        <row r="446">
          <cell r="C446" t="str">
            <v>Number of bulls and steers sold</v>
          </cell>
          <cell r="I446" t="str">
            <v>indAn6</v>
          </cell>
        </row>
        <row r="447">
          <cell r="C447" t="str">
            <v>Number of calves sold</v>
          </cell>
          <cell r="I447" t="str">
            <v>indAn7</v>
          </cell>
        </row>
        <row r="448">
          <cell r="C448" t="str">
            <v>Number of non pregnant heifers sold</v>
          </cell>
          <cell r="I448" t="str">
            <v>indAn8</v>
          </cell>
        </row>
        <row r="449">
          <cell r="C449" t="str">
            <v>Number of pregnant heifers sold</v>
          </cell>
          <cell r="I449" t="str">
            <v>indAn9</v>
          </cell>
        </row>
        <row r="450">
          <cell r="C450" t="str">
            <v>Cow culling rate</v>
          </cell>
          <cell r="I450" t="str">
            <v>indAn10</v>
          </cell>
        </row>
        <row r="451">
          <cell r="C451" t="str">
            <v>Heifer conception rate</v>
          </cell>
          <cell r="I451" t="str">
            <v>indAn11</v>
          </cell>
        </row>
        <row r="452">
          <cell r="C452" t="str">
            <v>Cow calving rate</v>
          </cell>
          <cell r="I452" t="str">
            <v>indAn12</v>
          </cell>
        </row>
        <row r="453">
          <cell r="C453" t="str">
            <v>Calf mortality</v>
          </cell>
          <cell r="I453" t="str">
            <v>indAn13</v>
          </cell>
        </row>
        <row r="454">
          <cell r="C454" t="str">
            <v>Young cattle mortality</v>
          </cell>
          <cell r="I454" t="str">
            <v>indAn14</v>
          </cell>
        </row>
        <row r="455">
          <cell r="C455" t="str">
            <v>Option for herd size</v>
          </cell>
          <cell r="I455" t="str">
            <v>indAn15</v>
          </cell>
        </row>
        <row r="456">
          <cell r="C456" t="str">
            <v>Meat of culled cows</v>
          </cell>
          <cell r="I456" t="str">
            <v>indAn16</v>
          </cell>
        </row>
        <row r="457">
          <cell r="C457" t="str">
            <v>Meat of bulls and steers</v>
          </cell>
          <cell r="I457" t="str">
            <v>indAn17</v>
          </cell>
        </row>
        <row r="458">
          <cell r="C458" t="str">
            <v>Meat of non pregnant heifers</v>
          </cell>
          <cell r="I458" t="str">
            <v>indAn18</v>
          </cell>
        </row>
        <row r="459">
          <cell r="C459" t="str">
            <v>Milk production per dairy cow</v>
          </cell>
          <cell r="I459" t="str">
            <v>indAn19</v>
          </cell>
        </row>
        <row r="460">
          <cell r="C460" t="str">
            <v>Fat content</v>
          </cell>
          <cell r="I460" t="str">
            <v>indAn20</v>
          </cell>
        </row>
        <row r="461">
          <cell r="C461" t="str">
            <v>Protein content</v>
          </cell>
          <cell r="I461" t="str">
            <v>indAn21</v>
          </cell>
        </row>
        <row r="462">
          <cell r="C462" t="str">
            <v>Somatic cells count</v>
          </cell>
          <cell r="I462" t="str">
            <v>indAn22</v>
          </cell>
        </row>
        <row r="463">
          <cell r="C463" t="str">
            <v>Animal welfare of cows</v>
          </cell>
          <cell r="I463" t="str">
            <v>indAn23</v>
          </cell>
        </row>
        <row r="464">
          <cell r="C464" t="str">
            <v>Animal welfare of heifers</v>
          </cell>
          <cell r="I464" t="str">
            <v>indAn24</v>
          </cell>
        </row>
        <row r="465">
          <cell r="C465" t="str">
            <v>Animal welfare of bulls</v>
          </cell>
          <cell r="I465" t="str">
            <v>indAn25</v>
          </cell>
        </row>
        <row r="466">
          <cell r="C466" t="str">
            <v>Animal welfare of steers</v>
          </cell>
          <cell r="I466" t="str">
            <v>indAn26</v>
          </cell>
        </row>
        <row r="467">
          <cell r="C467" t="str">
            <v>Antibiotic use for cows</v>
          </cell>
          <cell r="I467" t="str">
            <v>indAn27</v>
          </cell>
        </row>
        <row r="468">
          <cell r="C468" t="str">
            <v>Antibiotic use for heifers</v>
          </cell>
          <cell r="I468" t="str">
            <v>indAn28</v>
          </cell>
        </row>
        <row r="469">
          <cell r="C469" t="str">
            <v>Antibiotic use for bulls</v>
          </cell>
          <cell r="I469" t="str">
            <v>indAn29</v>
          </cell>
        </row>
        <row r="470">
          <cell r="C470" t="str">
            <v>Antibiotic use for steers</v>
          </cell>
          <cell r="I470" t="str">
            <v>indAn30</v>
          </cell>
        </row>
        <row r="471">
          <cell r="C471" t="str">
            <v>Anthelmintic use for cows</v>
          </cell>
          <cell r="I471" t="str">
            <v>indAn31</v>
          </cell>
        </row>
        <row r="472">
          <cell r="C472" t="str">
            <v>Anthelmintic use for heifers</v>
          </cell>
          <cell r="I472" t="str">
            <v>indAn32</v>
          </cell>
        </row>
        <row r="473">
          <cell r="C473" t="str">
            <v>Anthelmintic use for bulls</v>
          </cell>
          <cell r="I473" t="str">
            <v>indAn33</v>
          </cell>
        </row>
        <row r="474">
          <cell r="C474" t="str">
            <v>Anthelmintic use for steers</v>
          </cell>
          <cell r="I474" t="str">
            <v>indAn34</v>
          </cell>
        </row>
        <row r="475">
          <cell r="C475" t="str">
            <v>Veterinary costs for cows</v>
          </cell>
          <cell r="I475" t="str">
            <v>indAn35</v>
          </cell>
        </row>
        <row r="476">
          <cell r="C476" t="str">
            <v>Veterinary costs for heifers</v>
          </cell>
          <cell r="I476" t="str">
            <v>indAn36</v>
          </cell>
        </row>
        <row r="477">
          <cell r="C477" t="str">
            <v>Veterinary costs for bulls</v>
          </cell>
          <cell r="I477" t="str">
            <v>indAn37</v>
          </cell>
        </row>
        <row r="478">
          <cell r="C478" t="str">
            <v>Veterinary costs for steers</v>
          </cell>
          <cell r="I478" t="str">
            <v>indAn38</v>
          </cell>
        </row>
        <row r="479">
          <cell r="C479" t="str">
            <v>Insemination costs</v>
          </cell>
          <cell r="I479" t="str">
            <v>indAn39</v>
          </cell>
        </row>
        <row r="480">
          <cell r="C480" t="str">
            <v>Energy demand for machinery</v>
          </cell>
          <cell r="I480" t="str">
            <v>indAn40</v>
          </cell>
        </row>
        <row r="481">
          <cell r="C481" t="str">
            <v>Energy demand for milking operations</v>
          </cell>
          <cell r="I481" t="str">
            <v>indAn41</v>
          </cell>
        </row>
        <row r="482">
          <cell r="C482" t="str">
            <v>Water demand for cows</v>
          </cell>
          <cell r="I482" t="str">
            <v>indAn42</v>
          </cell>
        </row>
        <row r="483">
          <cell r="C483" t="str">
            <v>Water demand for heifers</v>
          </cell>
          <cell r="I483" t="str">
            <v>indAn43</v>
          </cell>
        </row>
        <row r="484">
          <cell r="C484" t="str">
            <v>Water demand for pregnant heifers</v>
          </cell>
          <cell r="I484" t="str">
            <v>indAn44</v>
          </cell>
        </row>
        <row r="485">
          <cell r="C485" t="str">
            <v>Water demand for bulls and steers</v>
          </cell>
          <cell r="I485" t="str">
            <v>indAn45</v>
          </cell>
        </row>
        <row r="486">
          <cell r="C486" t="str">
            <v>Water demand for calves</v>
          </cell>
          <cell r="I486" t="str">
            <v>indAn46</v>
          </cell>
        </row>
        <row r="487">
          <cell r="C487" t="str">
            <v>Water demand for other uses</v>
          </cell>
          <cell r="I487" t="str">
            <v>indAn47</v>
          </cell>
        </row>
        <row r="488">
          <cell r="C488" t="str">
            <v>Straw demand for cows</v>
          </cell>
          <cell r="I488" t="str">
            <v>indAn48</v>
          </cell>
        </row>
        <row r="489">
          <cell r="C489" t="str">
            <v>Straw demand for heifers</v>
          </cell>
          <cell r="I489" t="str">
            <v>indAn49</v>
          </cell>
        </row>
        <row r="490">
          <cell r="C490" t="str">
            <v>Straw demand for bulls</v>
          </cell>
          <cell r="I490" t="str">
            <v>indAn50</v>
          </cell>
        </row>
        <row r="491">
          <cell r="C491" t="str">
            <v>Straw demand for steers</v>
          </cell>
          <cell r="I491" t="str">
            <v>indAn51</v>
          </cell>
        </row>
        <row r="492">
          <cell r="C492" t="str">
            <v>Manure production of cows</v>
          </cell>
          <cell r="I492" t="str">
            <v>indAn52</v>
          </cell>
        </row>
        <row r="493">
          <cell r="C493" t="str">
            <v>Manure production of heifers</v>
          </cell>
          <cell r="I493" t="str">
            <v>indAn53</v>
          </cell>
        </row>
        <row r="494">
          <cell r="C494" t="str">
            <v>Manure production of bulls</v>
          </cell>
          <cell r="I494" t="str">
            <v>indAn54</v>
          </cell>
        </row>
        <row r="495">
          <cell r="C495" t="str">
            <v>Manure production of steers</v>
          </cell>
          <cell r="I495" t="str">
            <v>indAn55</v>
          </cell>
        </row>
        <row r="496">
          <cell r="C496" t="str">
            <v>Slurry production of cows</v>
          </cell>
          <cell r="I496" t="str">
            <v>indAn56</v>
          </cell>
        </row>
        <row r="497">
          <cell r="C497" t="str">
            <v>Slurry production of heifers</v>
          </cell>
          <cell r="I497" t="str">
            <v>indAn57</v>
          </cell>
        </row>
        <row r="498">
          <cell r="C498" t="str">
            <v>Slurry production of bulls</v>
          </cell>
          <cell r="I498" t="str">
            <v>indAn58</v>
          </cell>
        </row>
        <row r="499">
          <cell r="C499" t="str">
            <v>Slurry production of steers</v>
          </cell>
          <cell r="I499" t="str">
            <v>indAn59</v>
          </cell>
        </row>
        <row r="500">
          <cell r="C500" t="str">
            <v>Number of days of grazing</v>
          </cell>
          <cell r="I500" t="str">
            <v>indAn60</v>
          </cell>
        </row>
        <row r="501">
          <cell r="C501" t="str">
            <v>Maize silage demand for cows</v>
          </cell>
          <cell r="I501" t="str">
            <v>indAn61</v>
          </cell>
        </row>
        <row r="502">
          <cell r="C502" t="str">
            <v>Maize silage demand for heifers</v>
          </cell>
          <cell r="I502" t="str">
            <v>indAn62</v>
          </cell>
        </row>
        <row r="503">
          <cell r="C503" t="str">
            <v>Maize silage demand for bulls</v>
          </cell>
          <cell r="I503" t="str">
            <v>indAn63</v>
          </cell>
        </row>
        <row r="504">
          <cell r="C504" t="str">
            <v>Maize silage demand for steers</v>
          </cell>
          <cell r="I504" t="str">
            <v>indAn64</v>
          </cell>
        </row>
        <row r="505">
          <cell r="C505" t="str">
            <v>Grass silage demand for cows</v>
          </cell>
          <cell r="I505" t="str">
            <v>indAn65</v>
          </cell>
        </row>
        <row r="506">
          <cell r="C506" t="str">
            <v>Grass silage demand for heifers</v>
          </cell>
          <cell r="I506" t="str">
            <v>indAn66</v>
          </cell>
        </row>
        <row r="507">
          <cell r="C507" t="str">
            <v>Grass silage demand for bulls</v>
          </cell>
          <cell r="I507" t="str">
            <v>indAn67</v>
          </cell>
        </row>
        <row r="508">
          <cell r="C508" t="str">
            <v>Grass silage demand for steers</v>
          </cell>
          <cell r="I508" t="str">
            <v>indAn68</v>
          </cell>
        </row>
        <row r="509">
          <cell r="C509" t="str">
            <v>Alfalfa silage demand for cows</v>
          </cell>
          <cell r="I509" t="str">
            <v>indAn69</v>
          </cell>
        </row>
        <row r="510">
          <cell r="C510" t="str">
            <v>Alfalfa silage demand for heifers</v>
          </cell>
          <cell r="I510" t="str">
            <v>indAn70</v>
          </cell>
        </row>
        <row r="511">
          <cell r="C511" t="str">
            <v>Alfalfa silage demand for bulls</v>
          </cell>
          <cell r="I511" t="str">
            <v>indAn71</v>
          </cell>
        </row>
        <row r="512">
          <cell r="C512" t="str">
            <v>Alfalfa silage demand for steers</v>
          </cell>
          <cell r="I512" t="str">
            <v>indAn72</v>
          </cell>
        </row>
        <row r="513">
          <cell r="C513" t="str">
            <v>Sorghum silage demand for cows</v>
          </cell>
          <cell r="I513" t="str">
            <v>indAn73</v>
          </cell>
        </row>
        <row r="514">
          <cell r="C514" t="str">
            <v>Sorghum silage demand for heifers</v>
          </cell>
          <cell r="I514" t="str">
            <v>indAn74</v>
          </cell>
        </row>
        <row r="515">
          <cell r="C515" t="str">
            <v>Sorghum silage demand for bulls</v>
          </cell>
          <cell r="I515" t="str">
            <v>indAn75</v>
          </cell>
        </row>
        <row r="516">
          <cell r="C516" t="str">
            <v>Sorghum silage demand for steers</v>
          </cell>
          <cell r="I516" t="str">
            <v>indAn76</v>
          </cell>
        </row>
        <row r="517">
          <cell r="C517" t="str">
            <v>Hay demand for cows</v>
          </cell>
          <cell r="I517" t="str">
            <v>indAn77</v>
          </cell>
        </row>
        <row r="518">
          <cell r="C518" t="str">
            <v>Hay demand for heifers</v>
          </cell>
          <cell r="I518" t="str">
            <v>indAn78</v>
          </cell>
        </row>
        <row r="519">
          <cell r="C519" t="str">
            <v>Hay demand for bulls</v>
          </cell>
          <cell r="I519" t="str">
            <v>indAn79</v>
          </cell>
        </row>
        <row r="520">
          <cell r="C520" t="str">
            <v>Hay demand for steers</v>
          </cell>
          <cell r="I520" t="str">
            <v>indAn80</v>
          </cell>
        </row>
        <row r="521">
          <cell r="C521" t="str">
            <v>Grazed grass demand for cows</v>
          </cell>
          <cell r="I521" t="str">
            <v>indAn81</v>
          </cell>
        </row>
        <row r="522">
          <cell r="C522" t="str">
            <v>Grazed grass demand for heifers</v>
          </cell>
          <cell r="I522" t="str">
            <v>indAn82</v>
          </cell>
        </row>
        <row r="523">
          <cell r="C523" t="str">
            <v>Grazed grass demand for bulls</v>
          </cell>
          <cell r="I523" t="str">
            <v>indAn83</v>
          </cell>
        </row>
        <row r="524">
          <cell r="C524" t="str">
            <v>Grazed grass demand for steers</v>
          </cell>
          <cell r="I524" t="str">
            <v>indAn84</v>
          </cell>
        </row>
        <row r="525">
          <cell r="C525" t="str">
            <v>Barley demand for cows</v>
          </cell>
          <cell r="I525" t="str">
            <v>indAn85</v>
          </cell>
        </row>
        <row r="526">
          <cell r="C526" t="str">
            <v>Barley demand for heifers</v>
          </cell>
          <cell r="I526" t="str">
            <v>indAn86</v>
          </cell>
        </row>
        <row r="527">
          <cell r="C527" t="str">
            <v>Barley demand for bulls</v>
          </cell>
          <cell r="I527" t="str">
            <v>indAn87</v>
          </cell>
        </row>
        <row r="528">
          <cell r="C528" t="str">
            <v>Barley demand for steers</v>
          </cell>
          <cell r="I528" t="str">
            <v>indAn88</v>
          </cell>
        </row>
        <row r="529">
          <cell r="C529" t="str">
            <v>RSM demand for cows</v>
          </cell>
          <cell r="I529" t="str">
            <v>indAn89</v>
          </cell>
        </row>
        <row r="530">
          <cell r="C530" t="str">
            <v>RSM demand for heifers</v>
          </cell>
          <cell r="I530" t="str">
            <v>indAn90</v>
          </cell>
        </row>
        <row r="531">
          <cell r="C531" t="str">
            <v>RSM demand for bulls</v>
          </cell>
          <cell r="I531" t="str">
            <v>indAn91</v>
          </cell>
        </row>
        <row r="532">
          <cell r="C532" t="str">
            <v>RSM demand for steers</v>
          </cell>
          <cell r="I532" t="str">
            <v>indAn92</v>
          </cell>
        </row>
        <row r="533">
          <cell r="C533" t="str">
            <v>SBM demand for cows</v>
          </cell>
          <cell r="I533" t="str">
            <v>indAn93</v>
          </cell>
        </row>
        <row r="534">
          <cell r="C534" t="str">
            <v>SBM demand for heifers</v>
          </cell>
          <cell r="I534" t="str">
            <v>indAn94</v>
          </cell>
        </row>
        <row r="535">
          <cell r="C535" t="str">
            <v>SBM demand for bulls</v>
          </cell>
          <cell r="I535" t="str">
            <v>indAn95</v>
          </cell>
        </row>
        <row r="536">
          <cell r="C536" t="str">
            <v>SBM demand for steers</v>
          </cell>
          <cell r="I536" t="str">
            <v>indAn96</v>
          </cell>
        </row>
        <row r="537">
          <cell r="C537" t="str">
            <v>Faba bean demand for cows</v>
          </cell>
          <cell r="I537" t="str">
            <v>indAn97</v>
          </cell>
        </row>
        <row r="538">
          <cell r="C538" t="str">
            <v>Faba bean demand for heifers</v>
          </cell>
          <cell r="I538" t="str">
            <v>indAn98</v>
          </cell>
        </row>
        <row r="539">
          <cell r="C539" t="str">
            <v>Faba bean demand for bulls</v>
          </cell>
          <cell r="I539" t="str">
            <v>indAn99</v>
          </cell>
        </row>
        <row r="540">
          <cell r="C540" t="str">
            <v>Faba bean demand for steers</v>
          </cell>
          <cell r="I540" t="str">
            <v>indAn100</v>
          </cell>
        </row>
        <row r="541">
          <cell r="C541" t="str">
            <v>Wheat demand for cows</v>
          </cell>
          <cell r="I541" t="str">
            <v>indAn101</v>
          </cell>
        </row>
        <row r="542">
          <cell r="C542" t="str">
            <v>Wheat demand for heifers</v>
          </cell>
          <cell r="I542" t="str">
            <v>indAn102</v>
          </cell>
        </row>
        <row r="543">
          <cell r="C543" t="str">
            <v>Wheat demand for bulls</v>
          </cell>
          <cell r="I543" t="str">
            <v>indAn103</v>
          </cell>
        </row>
        <row r="544">
          <cell r="C544" t="str">
            <v>Wheat demand for steers</v>
          </cell>
          <cell r="I544" t="str">
            <v>indAn104</v>
          </cell>
        </row>
        <row r="545">
          <cell r="C545" t="str">
            <v>Milk replacer demand for cows</v>
          </cell>
          <cell r="I545" t="str">
            <v>indAn105</v>
          </cell>
        </row>
        <row r="546">
          <cell r="C546" t="str">
            <v>Milk replacer demand for heifers</v>
          </cell>
          <cell r="I546" t="str">
            <v>indAn106</v>
          </cell>
        </row>
        <row r="547">
          <cell r="C547" t="str">
            <v>Milk replacer demand for bulls</v>
          </cell>
          <cell r="I547" t="str">
            <v>indAn107</v>
          </cell>
        </row>
        <row r="548">
          <cell r="C548" t="str">
            <v>Milk replacer demand for steers</v>
          </cell>
          <cell r="I548" t="str">
            <v>indAn108</v>
          </cell>
        </row>
        <row r="549">
          <cell r="C549" t="str">
            <v>Milk demand for cows</v>
          </cell>
          <cell r="I549" t="str">
            <v>indAn109</v>
          </cell>
        </row>
        <row r="550">
          <cell r="C550" t="str">
            <v>Milk demand for heifers</v>
          </cell>
          <cell r="I550" t="str">
            <v>indAn110</v>
          </cell>
        </row>
        <row r="551">
          <cell r="C551" t="str">
            <v>Milk demand for bulls</v>
          </cell>
          <cell r="I551" t="str">
            <v>indAn111</v>
          </cell>
        </row>
        <row r="552">
          <cell r="C552" t="str">
            <v>Milk demand for steers</v>
          </cell>
          <cell r="I552" t="str">
            <v>indAn112</v>
          </cell>
        </row>
        <row r="553">
          <cell r="C553" t="str">
            <v>Feed straw demand for cows</v>
          </cell>
          <cell r="I553" t="str">
            <v>indAn113</v>
          </cell>
        </row>
        <row r="554">
          <cell r="C554" t="str">
            <v>Feed straw demand for heifers</v>
          </cell>
          <cell r="I554" t="str">
            <v>indAn114</v>
          </cell>
        </row>
        <row r="555">
          <cell r="C555" t="str">
            <v>Feed straw demand for bulls</v>
          </cell>
          <cell r="I555" t="str">
            <v>indAn115</v>
          </cell>
        </row>
        <row r="556">
          <cell r="C556" t="str">
            <v>Feed straw demand for steers</v>
          </cell>
          <cell r="I556" t="str">
            <v>indAn116</v>
          </cell>
        </row>
        <row r="557">
          <cell r="C557" t="str">
            <v>Routine work demand for milking</v>
          </cell>
          <cell r="I557" t="str">
            <v>indAn117</v>
          </cell>
        </row>
        <row r="558">
          <cell r="C558" t="str">
            <v>Routine work demand for feeding (cows)</v>
          </cell>
          <cell r="I558" t="str">
            <v>indAn118</v>
          </cell>
        </row>
        <row r="559">
          <cell r="C559" t="str">
            <v>Routine work demand for feeding (other cattle)</v>
          </cell>
          <cell r="I559" t="str">
            <v>indAn119</v>
          </cell>
        </row>
        <row r="560">
          <cell r="C560" t="str">
            <v>Routine work demand for manure management (cows)</v>
          </cell>
          <cell r="I560" t="str">
            <v>indAn120</v>
          </cell>
        </row>
        <row r="561">
          <cell r="C561" t="str">
            <v>Routine work demand for manure management (other cattle)</v>
          </cell>
          <cell r="I561" t="str">
            <v>indAn121</v>
          </cell>
        </row>
        <row r="562">
          <cell r="C562" t="str">
            <v>Routine work demand for heath &amp; care (cows)</v>
          </cell>
          <cell r="I562" t="str">
            <v>indAn122</v>
          </cell>
        </row>
        <row r="563">
          <cell r="C563" t="str">
            <v>Routine work demand for heath &amp; care (other cattle)</v>
          </cell>
          <cell r="I563" t="str">
            <v>indAn123</v>
          </cell>
        </row>
        <row r="564">
          <cell r="C564" t="str">
            <v>Routine work demand for other activities (cows)</v>
          </cell>
          <cell r="I564" t="str">
            <v>indAn124</v>
          </cell>
        </row>
        <row r="565">
          <cell r="C565" t="str">
            <v>Routine work demand for other activities (other cattle)</v>
          </cell>
          <cell r="I565" t="str">
            <v>indAn125</v>
          </cell>
        </row>
        <row r="566">
          <cell r="C566" t="str">
            <v>Investment in buildings and agroforestry</v>
          </cell>
          <cell r="I566" t="str">
            <v>indAn126</v>
          </cell>
        </row>
        <row r="567">
          <cell r="C567" t="str">
            <v>Organic farming</v>
          </cell>
          <cell r="I567" t="str">
            <v>indGl1</v>
          </cell>
        </row>
        <row r="568">
          <cell r="C568" t="str">
            <v>Complexity of the system</v>
          </cell>
          <cell r="I568" t="str">
            <v>indGl2</v>
          </cell>
        </row>
        <row r="569">
          <cell r="C569" t="str">
            <v>Area of farmland #1</v>
          </cell>
          <cell r="I569" t="str">
            <v>indCr237</v>
          </cell>
        </row>
        <row r="570">
          <cell r="C570" t="str">
            <v>Area of farmland #2</v>
          </cell>
          <cell r="I570" t="str">
            <v>indCr238</v>
          </cell>
        </row>
        <row r="571">
          <cell r="C571" t="str">
            <v>Area of permanent grassland</v>
          </cell>
          <cell r="I571" t="str">
            <v>indCr239</v>
          </cell>
        </row>
        <row r="572">
          <cell r="C572" t="str">
            <v>Water quality due to pesticide use</v>
          </cell>
          <cell r="I572" t="str">
            <v>indCr240</v>
          </cell>
        </row>
        <row r="573">
          <cell r="C573" t="str">
            <v>Milk production</v>
          </cell>
          <cell r="I573" t="str">
            <v>indAn127</v>
          </cell>
        </row>
        <row r="574">
          <cell r="C574" t="str">
            <v>Meat production</v>
          </cell>
          <cell r="I574" t="str">
            <v>indAn128</v>
          </cell>
        </row>
        <row r="575">
          <cell r="C575" t="str">
            <v>Veterinary costs</v>
          </cell>
          <cell r="I575" t="str">
            <v>indAn129</v>
          </cell>
        </row>
        <row r="576">
          <cell r="C576" t="str">
            <v>Insemination costs</v>
          </cell>
          <cell r="I576" t="str">
            <v>indAn130</v>
          </cell>
        </row>
        <row r="577">
          <cell r="C577" t="str">
            <v>Animal welfare index</v>
          </cell>
          <cell r="I577" t="str">
            <v>indAn131</v>
          </cell>
        </row>
        <row r="578">
          <cell r="C578" t="str">
            <v>Water demand</v>
          </cell>
          <cell r="I578" t="str">
            <v>indAn133</v>
          </cell>
        </row>
        <row r="579">
          <cell r="C579" t="str">
            <v>Straw demand</v>
          </cell>
          <cell r="I579" t="str">
            <v>indAn134</v>
          </cell>
        </row>
        <row r="580">
          <cell r="C580" t="str">
            <v>Manure production</v>
          </cell>
          <cell r="I580" t="str">
            <v>indAn135</v>
          </cell>
        </row>
        <row r="581">
          <cell r="C581" t="str">
            <v>Organic nitrogen production (from manure)</v>
          </cell>
          <cell r="I581" t="str">
            <v>indAn136</v>
          </cell>
        </row>
        <row r="582">
          <cell r="C582" t="str">
            <v>Slurry production</v>
          </cell>
          <cell r="I582" t="str">
            <v>indAn137</v>
          </cell>
        </row>
        <row r="583">
          <cell r="C583" t="str">
            <v>Organic nitrogen production (from slurry)</v>
          </cell>
          <cell r="I583" t="str">
            <v>indAn138</v>
          </cell>
        </row>
        <row r="584">
          <cell r="C584" t="str">
            <v>Maize silage demand</v>
          </cell>
          <cell r="I584" t="str">
            <v>indAn139</v>
          </cell>
        </row>
        <row r="585">
          <cell r="C585" t="str">
            <v>Grass silage demand</v>
          </cell>
          <cell r="I585" t="str">
            <v>indAn140</v>
          </cell>
        </row>
        <row r="586">
          <cell r="C586" t="str">
            <v>Alfalfa silage demand</v>
          </cell>
          <cell r="I586" t="str">
            <v>indAn141</v>
          </cell>
        </row>
        <row r="587">
          <cell r="C587" t="str">
            <v>Sorghum silage demand</v>
          </cell>
          <cell r="I587" t="str">
            <v>indAn142</v>
          </cell>
        </row>
        <row r="588">
          <cell r="C588" t="str">
            <v>Hay demand</v>
          </cell>
          <cell r="I588" t="str">
            <v>indAn143</v>
          </cell>
        </row>
        <row r="589">
          <cell r="C589" t="str">
            <v>Grazed grass demand</v>
          </cell>
          <cell r="I589" t="str">
            <v>indAn144</v>
          </cell>
        </row>
        <row r="590">
          <cell r="C590" t="str">
            <v>Barley demand</v>
          </cell>
          <cell r="I590" t="str">
            <v>indAn145</v>
          </cell>
        </row>
        <row r="591">
          <cell r="C591" t="str">
            <v>Rapeseed meal demand</v>
          </cell>
          <cell r="I591" t="str">
            <v>indAn146</v>
          </cell>
        </row>
        <row r="592">
          <cell r="C592" t="str">
            <v>Soybean meal demand</v>
          </cell>
          <cell r="I592" t="str">
            <v>indAn147</v>
          </cell>
        </row>
        <row r="593">
          <cell r="C593" t="str">
            <v>Faba bean demand</v>
          </cell>
          <cell r="I593" t="str">
            <v>indAn148</v>
          </cell>
        </row>
        <row r="594">
          <cell r="C594" t="str">
            <v>Wheat demand</v>
          </cell>
          <cell r="I594" t="str">
            <v>indAn149</v>
          </cell>
        </row>
        <row r="595">
          <cell r="C595" t="str">
            <v>Milk replacer demand</v>
          </cell>
          <cell r="I595" t="str">
            <v>indAn150</v>
          </cell>
        </row>
        <row r="596">
          <cell r="C596" t="str">
            <v>Milk demand</v>
          </cell>
          <cell r="I596" t="str">
            <v>indAn151</v>
          </cell>
        </row>
        <row r="597">
          <cell r="C597" t="str">
            <v>Routine work demand</v>
          </cell>
          <cell r="I597" t="str">
            <v>indAn153</v>
          </cell>
        </row>
        <row r="598">
          <cell r="C598" t="str">
            <v>Livestock gross margin</v>
          </cell>
          <cell r="I598" t="str">
            <v>indAn156</v>
          </cell>
        </row>
        <row r="599">
          <cell r="C599" t="str">
            <v>Crop gross margin</v>
          </cell>
          <cell r="I599" t="str">
            <v>indAn157</v>
          </cell>
        </row>
        <row r="600">
          <cell r="C600" t="str">
            <v>Initial cow number</v>
          </cell>
          <cell r="I600" t="str">
            <v>indAn158</v>
          </cell>
        </row>
        <row r="601">
          <cell r="C601" t="str">
            <v>Final cow number</v>
          </cell>
          <cell r="I601" t="str">
            <v>indAn159</v>
          </cell>
        </row>
        <row r="602">
          <cell r="C602" t="str">
            <v>Number of pregnant heifer bought</v>
          </cell>
          <cell r="I602" t="str">
            <v>indAn160</v>
          </cell>
        </row>
        <row r="603">
          <cell r="C603" t="str">
            <v>Farm profit</v>
          </cell>
          <cell r="I603" t="str">
            <v>indEc5</v>
          </cell>
        </row>
        <row r="604">
          <cell r="C604" t="str">
            <v>Average number of pregnant heifer</v>
          </cell>
          <cell r="I604" t="str">
            <v>indAn161</v>
          </cell>
        </row>
        <row r="605">
          <cell r="C605" t="str">
            <v>Average number of non pregnant heifer</v>
          </cell>
          <cell r="I605" t="str">
            <v>indAn162</v>
          </cell>
        </row>
        <row r="606">
          <cell r="C606" t="str">
            <v>Born calve number</v>
          </cell>
          <cell r="I606" t="str">
            <v>indAn163</v>
          </cell>
        </row>
        <row r="607">
          <cell r="C607" t="str">
            <v>Cows from regrouping</v>
          </cell>
          <cell r="I607" t="str">
            <v>indAn164</v>
          </cell>
        </row>
        <row r="608">
          <cell r="C608" t="str">
            <v>Pregnant heifer from regrouping</v>
          </cell>
          <cell r="I608" t="str">
            <v>indAn165</v>
          </cell>
        </row>
        <row r="609">
          <cell r="C609" t="str">
            <v>Heifer from regrouping</v>
          </cell>
          <cell r="I609" t="str">
            <v>indAn166</v>
          </cell>
        </row>
        <row r="610">
          <cell r="C610" t="str">
            <v>Bulls from regrouping</v>
          </cell>
          <cell r="I610" t="str">
            <v>indAn167</v>
          </cell>
        </row>
        <row r="611">
          <cell r="C611" t="str">
            <v>Pregnant heifer to regrouping</v>
          </cell>
          <cell r="I611" t="str">
            <v>indAn168</v>
          </cell>
        </row>
        <row r="612">
          <cell r="C612" t="str">
            <v>Heifer to regrouping</v>
          </cell>
          <cell r="I612" t="str">
            <v>indAn169</v>
          </cell>
        </row>
        <row r="613">
          <cell r="C613" t="str">
            <v>Calf to regrouping</v>
          </cell>
          <cell r="I613" t="str">
            <v>indAn170</v>
          </cell>
        </row>
        <row r="614">
          <cell r="C614" t="str">
            <v>Dead heifer number</v>
          </cell>
          <cell r="I614" t="str">
            <v>indAn171</v>
          </cell>
        </row>
        <row r="615">
          <cell r="C615" t="str">
            <v>Dead calf number</v>
          </cell>
          <cell r="I615" t="str">
            <v>indAn172</v>
          </cell>
        </row>
        <row r="616">
          <cell r="C616" t="str">
            <v>Dead bull number</v>
          </cell>
          <cell r="I616" t="str">
            <v>indAn173</v>
          </cell>
        </row>
        <row r="617">
          <cell r="C617" t="str">
            <v>Cow input sum</v>
          </cell>
          <cell r="I617" t="str">
            <v>indAn174</v>
          </cell>
        </row>
        <row r="618">
          <cell r="C618" t="str">
            <v>Pregnant heifer input sum</v>
          </cell>
          <cell r="I618" t="str">
            <v>indAn175</v>
          </cell>
        </row>
        <row r="619">
          <cell r="C619" t="str">
            <v>Heifer input sum</v>
          </cell>
          <cell r="I619" t="str">
            <v>indAn176</v>
          </cell>
        </row>
        <row r="620">
          <cell r="C620" t="str">
            <v>Calf input sum</v>
          </cell>
          <cell r="I620" t="str">
            <v>indAn177</v>
          </cell>
        </row>
        <row r="621">
          <cell r="C621" t="str">
            <v>Bull input sum</v>
          </cell>
          <cell r="I621" t="str">
            <v>indAn178</v>
          </cell>
        </row>
        <row r="622">
          <cell r="C622" t="str">
            <v>Cow output sum</v>
          </cell>
          <cell r="I622" t="str">
            <v>indAn179</v>
          </cell>
        </row>
        <row r="623">
          <cell r="C623" t="str">
            <v>Pregnant heifer output sum</v>
          </cell>
          <cell r="I623" t="str">
            <v>indAn180</v>
          </cell>
        </row>
        <row r="624">
          <cell r="C624" t="str">
            <v>Heifer output sum</v>
          </cell>
          <cell r="I624" t="str">
            <v>indAn181</v>
          </cell>
        </row>
        <row r="625">
          <cell r="C625" t="str">
            <v>Calf output sum</v>
          </cell>
          <cell r="I625" t="str">
            <v>indAn182</v>
          </cell>
        </row>
        <row r="626">
          <cell r="C626" t="str">
            <v>Bull output sum</v>
          </cell>
          <cell r="I626" t="str">
            <v>indAn183</v>
          </cell>
        </row>
        <row r="627">
          <cell r="C627" t="str">
            <v>Number of bull sold</v>
          </cell>
          <cell r="I627" t="str">
            <v>indAn184</v>
          </cell>
        </row>
        <row r="628">
          <cell r="C628" t="str">
            <v>N demand wheat (UAA1)</v>
          </cell>
          <cell r="I628" t="str">
            <v>indCr241</v>
          </cell>
        </row>
        <row r="629">
          <cell r="C629" t="str">
            <v>N demand barley (UAA1)</v>
          </cell>
          <cell r="I629" t="str">
            <v>indCr242</v>
          </cell>
        </row>
        <row r="630">
          <cell r="C630" t="str">
            <v>N demand sugar beet (UAA1)</v>
          </cell>
          <cell r="I630" t="str">
            <v>indCr243</v>
          </cell>
        </row>
        <row r="631">
          <cell r="C631" t="str">
            <v>N demand potato (UAA1)</v>
          </cell>
          <cell r="I631" t="str">
            <v>indCr244</v>
          </cell>
        </row>
        <row r="632">
          <cell r="C632" t="str">
            <v>N demand rapeseed (UAA1)</v>
          </cell>
          <cell r="I632" t="str">
            <v>indCr245</v>
          </cell>
        </row>
        <row r="633">
          <cell r="C633" t="str">
            <v>N demand pea (UAA1)</v>
          </cell>
          <cell r="I633" t="str">
            <v>indCr246</v>
          </cell>
        </row>
        <row r="634">
          <cell r="C634" t="str">
            <v>N demand faba bean (UAA1)</v>
          </cell>
          <cell r="I634" t="str">
            <v>indCr247</v>
          </cell>
        </row>
        <row r="635">
          <cell r="C635" t="str">
            <v>N demand maize (UAA1)</v>
          </cell>
          <cell r="I635" t="str">
            <v>indCr248</v>
          </cell>
        </row>
        <row r="636">
          <cell r="C636" t="str">
            <v>N demand alfalfa (UAA1)</v>
          </cell>
          <cell r="I636" t="str">
            <v>indCr249</v>
          </cell>
        </row>
        <row r="637">
          <cell r="C637" t="str">
            <v>N demand sorghum (UAA1)</v>
          </cell>
          <cell r="I637" t="str">
            <v>indCr250</v>
          </cell>
        </row>
        <row r="638">
          <cell r="C638" t="str">
            <v>N demand TG (UAA1)</v>
          </cell>
          <cell r="I638" t="str">
            <v>indCr251</v>
          </cell>
        </row>
        <row r="639">
          <cell r="C639" t="str">
            <v>N demand wheat (UAA2)</v>
          </cell>
          <cell r="I639" t="str">
            <v>indCr252</v>
          </cell>
        </row>
        <row r="640">
          <cell r="C640" t="str">
            <v>N demand barley (UAA2)</v>
          </cell>
          <cell r="I640" t="str">
            <v>indCr253</v>
          </cell>
        </row>
        <row r="641">
          <cell r="C641" t="str">
            <v>N demand sugar beet (UAA2)</v>
          </cell>
          <cell r="I641" t="str">
            <v>indCr254</v>
          </cell>
        </row>
        <row r="642">
          <cell r="C642" t="str">
            <v>N demand potato (UAA2)</v>
          </cell>
          <cell r="I642" t="str">
            <v>indCr255</v>
          </cell>
        </row>
        <row r="643">
          <cell r="C643" t="str">
            <v>N demand rapeseed (UAA2)</v>
          </cell>
          <cell r="I643" t="str">
            <v>indCr256</v>
          </cell>
        </row>
        <row r="644">
          <cell r="C644" t="str">
            <v>N demand pea (UAA2)</v>
          </cell>
          <cell r="I644" t="str">
            <v>indCr257</v>
          </cell>
        </row>
        <row r="645">
          <cell r="C645" t="str">
            <v>N demand faba bean (UAA2)</v>
          </cell>
          <cell r="I645" t="str">
            <v>indCr258</v>
          </cell>
        </row>
        <row r="646">
          <cell r="C646" t="str">
            <v>N demand maize (UAA2)</v>
          </cell>
          <cell r="I646" t="str">
            <v>indCr259</v>
          </cell>
        </row>
        <row r="647">
          <cell r="C647" t="str">
            <v>N demand alfalfa (UAA2)</v>
          </cell>
          <cell r="I647" t="str">
            <v>indCr260</v>
          </cell>
        </row>
        <row r="648">
          <cell r="C648" t="str">
            <v>N demand sorghum (UAA2)</v>
          </cell>
          <cell r="I648" t="str">
            <v>indCr261</v>
          </cell>
        </row>
        <row r="649">
          <cell r="C649" t="str">
            <v>N demand TG (UAA2)</v>
          </cell>
          <cell r="I649" t="str">
            <v>indCr262</v>
          </cell>
        </row>
        <row r="650">
          <cell r="C650" t="str">
            <v>N demand PG</v>
          </cell>
          <cell r="I650" t="str">
            <v>indCr263</v>
          </cell>
        </row>
        <row r="651">
          <cell r="C651" t="str">
            <v>Crop N requirement</v>
          </cell>
          <cell r="I651" t="str">
            <v>indCr264</v>
          </cell>
        </row>
        <row r="652">
          <cell r="C652" t="str">
            <v>N supplied by on-farm organic fertilizers</v>
          </cell>
          <cell r="I652" t="str">
            <v>indAn185</v>
          </cell>
        </row>
        <row r="653">
          <cell r="C653" t="str">
            <v>N export from farm</v>
          </cell>
          <cell r="I653" t="str">
            <v>indF1</v>
          </cell>
        </row>
        <row r="654">
          <cell r="C654" t="str">
            <v>Mineral fertilizer N purchased</v>
          </cell>
          <cell r="I654" t="str">
            <v>indF2</v>
          </cell>
        </row>
        <row r="655">
          <cell r="C655" t="str">
            <v>Ratio of N demand satisfied</v>
          </cell>
          <cell r="I655" t="str">
            <v>indCr265</v>
          </cell>
        </row>
        <row r="656">
          <cell r="C656" t="str">
            <v>Final yield wheat (grain) (UAA1)</v>
          </cell>
          <cell r="I656" t="str">
            <v>indCr266.UAA1</v>
          </cell>
        </row>
        <row r="657">
          <cell r="C657" t="str">
            <v>Final yield wheat (straw) (UAA1)</v>
          </cell>
          <cell r="I657" t="str">
            <v>indCr267.UAA1</v>
          </cell>
        </row>
        <row r="658">
          <cell r="C658" t="str">
            <v>Final yield barley (grain) (UAA1)</v>
          </cell>
          <cell r="I658" t="str">
            <v>indCr268.UAA1</v>
          </cell>
        </row>
        <row r="659">
          <cell r="C659" t="str">
            <v>Final yield barley (straw) (UAA1)</v>
          </cell>
          <cell r="I659" t="str">
            <v>indCr269.UAA1</v>
          </cell>
        </row>
        <row r="660">
          <cell r="C660" t="str">
            <v>Final yield sugar beet (UAA1)</v>
          </cell>
          <cell r="I660" t="str">
            <v>indCr270.UAA1</v>
          </cell>
        </row>
        <row r="661">
          <cell r="C661" t="str">
            <v>Final yield potato (UAA1)</v>
          </cell>
          <cell r="I661" t="str">
            <v>indCr271.UAA1</v>
          </cell>
        </row>
        <row r="662">
          <cell r="C662" t="str">
            <v>Final yield rapeseed (UAA1)</v>
          </cell>
          <cell r="I662" t="str">
            <v>indCr272.UAA1</v>
          </cell>
        </row>
        <row r="663">
          <cell r="C663" t="str">
            <v>Final yield pea (UAA1)</v>
          </cell>
          <cell r="I663" t="str">
            <v>indCr273.UAA1</v>
          </cell>
        </row>
        <row r="664">
          <cell r="C664" t="str">
            <v>Final yield faba bean (UAA1)</v>
          </cell>
          <cell r="I664" t="str">
            <v>indCr274.UAA1</v>
          </cell>
        </row>
        <row r="665">
          <cell r="C665" t="str">
            <v>Final yield maize (UAA1)</v>
          </cell>
          <cell r="I665" t="str">
            <v>indCr275.UAA1</v>
          </cell>
        </row>
        <row r="666">
          <cell r="C666" t="str">
            <v>Final yield alfalfa (UAA1)</v>
          </cell>
          <cell r="I666" t="str">
            <v>indCr276.UAA1</v>
          </cell>
        </row>
        <row r="667">
          <cell r="C667" t="str">
            <v>Final yield sorghum (UAA1)</v>
          </cell>
          <cell r="I667" t="str">
            <v>indCr277.UAA1</v>
          </cell>
        </row>
        <row r="668">
          <cell r="C668" t="str">
            <v>Final yield TG (UAA1)</v>
          </cell>
          <cell r="I668" t="str">
            <v>indCr278.UAA1</v>
          </cell>
        </row>
        <row r="669">
          <cell r="C669" t="str">
            <v>Final yield wheat (grain) (UAA2)</v>
          </cell>
          <cell r="I669" t="str">
            <v>indCr266.UAA2</v>
          </cell>
        </row>
        <row r="670">
          <cell r="C670" t="str">
            <v>Final yield wheat (straw) (UAA2)</v>
          </cell>
          <cell r="I670" t="str">
            <v>indCr267.UAA2</v>
          </cell>
        </row>
        <row r="671">
          <cell r="C671" t="str">
            <v>Final yield barley (grain) (UAA2)</v>
          </cell>
          <cell r="I671" t="str">
            <v>indCr268.UAA2</v>
          </cell>
        </row>
        <row r="672">
          <cell r="C672" t="str">
            <v>Final yield barley (straw) (UAA2)</v>
          </cell>
          <cell r="I672" t="str">
            <v>indCr269.UAA2</v>
          </cell>
        </row>
        <row r="673">
          <cell r="C673" t="str">
            <v>Final yield sugar beet (UAA2)</v>
          </cell>
          <cell r="I673" t="str">
            <v>indCr270.UAA2</v>
          </cell>
        </row>
        <row r="674">
          <cell r="C674" t="str">
            <v>Final yield potato (UAA2)</v>
          </cell>
          <cell r="I674" t="str">
            <v>indCr271.UAA2</v>
          </cell>
        </row>
        <row r="675">
          <cell r="C675" t="str">
            <v>Final yield rapeseed (UAA2)</v>
          </cell>
          <cell r="I675" t="str">
            <v>indCr272.UAA2</v>
          </cell>
        </row>
        <row r="676">
          <cell r="C676" t="str">
            <v>Final yield pea (UAA2)</v>
          </cell>
          <cell r="I676" t="str">
            <v>indCr273.UAA2</v>
          </cell>
        </row>
        <row r="677">
          <cell r="C677" t="str">
            <v>Final yield faba bean (UAA2)</v>
          </cell>
          <cell r="I677" t="str">
            <v>indCr274.UAA2</v>
          </cell>
        </row>
        <row r="678">
          <cell r="C678" t="str">
            <v>Final yield maize (UAA2)</v>
          </cell>
          <cell r="I678" t="str">
            <v>indCr275.UAA2</v>
          </cell>
        </row>
        <row r="679">
          <cell r="C679" t="str">
            <v>Final yield alfalfa (UAA2)</v>
          </cell>
          <cell r="I679" t="str">
            <v>indCr276.UAA2</v>
          </cell>
        </row>
        <row r="680">
          <cell r="C680" t="str">
            <v>Final yield sorghum (UAA2)</v>
          </cell>
          <cell r="I680" t="str">
            <v>indCr277.UAA2</v>
          </cell>
        </row>
        <row r="681">
          <cell r="C681" t="str">
            <v>Final yield TG (UAA2)</v>
          </cell>
          <cell r="I681" t="str">
            <v>indCr278.UAA2</v>
          </cell>
        </row>
        <row r="682">
          <cell r="C682" t="str">
            <v>Final yield PG</v>
          </cell>
          <cell r="I682" t="str">
            <v>indCr279</v>
          </cell>
        </row>
        <row r="683">
          <cell r="C683" t="str">
            <v>Production of wheat</v>
          </cell>
          <cell r="I683" t="str">
            <v>indF3</v>
          </cell>
        </row>
        <row r="684">
          <cell r="C684" t="str">
            <v>Production of straw (wheat)</v>
          </cell>
          <cell r="I684" t="str">
            <v>indF4</v>
          </cell>
        </row>
        <row r="685">
          <cell r="C685" t="str">
            <v>Production of barley</v>
          </cell>
          <cell r="I685" t="str">
            <v>indF5</v>
          </cell>
        </row>
        <row r="686">
          <cell r="C686" t="str">
            <v>Production of straw (barley)</v>
          </cell>
          <cell r="I686" t="str">
            <v>indF6</v>
          </cell>
        </row>
        <row r="687">
          <cell r="C687" t="str">
            <v>Production of sugar beet</v>
          </cell>
          <cell r="I687" t="str">
            <v>indF7</v>
          </cell>
        </row>
        <row r="688">
          <cell r="C688" t="str">
            <v>Production of potato</v>
          </cell>
          <cell r="I688" t="str">
            <v>indF8</v>
          </cell>
        </row>
        <row r="689">
          <cell r="C689" t="str">
            <v>Production of rapeseed</v>
          </cell>
          <cell r="I689" t="str">
            <v>indF9</v>
          </cell>
        </row>
        <row r="690">
          <cell r="C690" t="str">
            <v>Production of pea</v>
          </cell>
          <cell r="I690" t="str">
            <v>indF10</v>
          </cell>
        </row>
        <row r="691">
          <cell r="C691" t="str">
            <v>Production of faba bean</v>
          </cell>
          <cell r="I691" t="str">
            <v>indF11</v>
          </cell>
        </row>
        <row r="692">
          <cell r="C692" t="str">
            <v>Production of maize</v>
          </cell>
          <cell r="I692" t="str">
            <v>indF12</v>
          </cell>
        </row>
        <row r="693">
          <cell r="C693" t="str">
            <v>Production of alfalfa</v>
          </cell>
          <cell r="I693" t="str">
            <v>indF13</v>
          </cell>
        </row>
        <row r="694">
          <cell r="C694" t="str">
            <v>Production of sorghum</v>
          </cell>
          <cell r="I694" t="str">
            <v>indF14</v>
          </cell>
        </row>
        <row r="695">
          <cell r="C695" t="str">
            <v>Production of temporary grassland</v>
          </cell>
          <cell r="I695" t="str">
            <v>indF15</v>
          </cell>
        </row>
        <row r="696">
          <cell r="C696" t="str">
            <v>Production of permanent grassland</v>
          </cell>
          <cell r="I696" t="str">
            <v>indF16</v>
          </cell>
        </row>
        <row r="697">
          <cell r="C697" t="str">
            <v>Quantity of wheat grains sold</v>
          </cell>
          <cell r="I697" t="str">
            <v>indF17</v>
          </cell>
        </row>
        <row r="698">
          <cell r="C698" t="str">
            <v>Quantity of wheat grains purchased</v>
          </cell>
          <cell r="I698" t="str">
            <v>indF18</v>
          </cell>
        </row>
        <row r="699">
          <cell r="C699" t="str">
            <v>Quantity of straw sold</v>
          </cell>
          <cell r="I699" t="str">
            <v>indF19</v>
          </cell>
        </row>
        <row r="700">
          <cell r="C700" t="str">
            <v>Quantity of straw purchased</v>
          </cell>
          <cell r="I700" t="str">
            <v>indF20</v>
          </cell>
        </row>
        <row r="701">
          <cell r="C701" t="str">
            <v>Quantity of barley grains sold</v>
          </cell>
          <cell r="I701" t="str">
            <v>indF21</v>
          </cell>
        </row>
        <row r="702">
          <cell r="C702" t="str">
            <v>Quantity of barley grains purchased</v>
          </cell>
          <cell r="I702" t="str">
            <v>indF22</v>
          </cell>
        </row>
        <row r="703">
          <cell r="C703" t="str">
            <v>Quantity of sugar beet sold</v>
          </cell>
          <cell r="I703" t="str">
            <v>indF23</v>
          </cell>
        </row>
        <row r="704">
          <cell r="C704" t="str">
            <v>Quantity of potato sold</v>
          </cell>
          <cell r="I704" t="str">
            <v>indF24</v>
          </cell>
        </row>
        <row r="705">
          <cell r="C705" t="str">
            <v>Quantity of rapeseed sold</v>
          </cell>
          <cell r="I705" t="str">
            <v>indF25</v>
          </cell>
        </row>
        <row r="706">
          <cell r="C706" t="str">
            <v>Quantity of rapeseed meal purchased</v>
          </cell>
          <cell r="I706" t="str">
            <v>indF26</v>
          </cell>
        </row>
        <row r="707">
          <cell r="C707" t="str">
            <v>Quantity of pea grain sold</v>
          </cell>
          <cell r="I707" t="str">
            <v>indF27</v>
          </cell>
        </row>
        <row r="708">
          <cell r="C708" t="str">
            <v>Quantity of faba bean grain sold</v>
          </cell>
          <cell r="I708" t="str">
            <v>indF28</v>
          </cell>
        </row>
        <row r="709">
          <cell r="C709" t="str">
            <v>Quantity of faba bean grain purchased</v>
          </cell>
          <cell r="I709" t="str">
            <v>indF29</v>
          </cell>
        </row>
        <row r="710">
          <cell r="C710" t="str">
            <v>Quantity of maize silage sold</v>
          </cell>
          <cell r="I710" t="str">
            <v>indF30</v>
          </cell>
        </row>
        <row r="711">
          <cell r="C711" t="str">
            <v>Quantity of maize silage purchased</v>
          </cell>
          <cell r="I711" t="str">
            <v>indF31</v>
          </cell>
        </row>
        <row r="712">
          <cell r="C712" t="str">
            <v>Quantity of alfalfa silage sold</v>
          </cell>
          <cell r="I712" t="str">
            <v>indF32</v>
          </cell>
        </row>
        <row r="713">
          <cell r="C713" t="str">
            <v>Quantity of alfalfa silage purchased</v>
          </cell>
          <cell r="I713" t="str">
            <v>indF33</v>
          </cell>
        </row>
        <row r="714">
          <cell r="C714" t="str">
            <v>Quantity of sorghum silage sold</v>
          </cell>
          <cell r="I714" t="str">
            <v>indF34</v>
          </cell>
        </row>
        <row r="715">
          <cell r="C715" t="str">
            <v>Quantity of sorghum silage purchased</v>
          </cell>
          <cell r="I715" t="str">
            <v>indF35</v>
          </cell>
        </row>
        <row r="716">
          <cell r="C716" t="str">
            <v>Quantity of grass sold</v>
          </cell>
          <cell r="I716" t="str">
            <v>indF36</v>
          </cell>
        </row>
        <row r="717">
          <cell r="C717" t="str">
            <v>Quantity of grass purchased</v>
          </cell>
          <cell r="I717" t="str">
            <v>indF37</v>
          </cell>
        </row>
        <row r="718">
          <cell r="C718" t="str">
            <v>Quantity of milk replacer purchased</v>
          </cell>
          <cell r="I718" t="str">
            <v>indF38</v>
          </cell>
        </row>
        <row r="719">
          <cell r="C719" t="str">
            <v>Feed cost</v>
          </cell>
          <cell r="I719" t="str">
            <v>indF40</v>
          </cell>
        </row>
        <row r="720">
          <cell r="C720" t="str">
            <v>Milk sales</v>
          </cell>
          <cell r="I720" t="str">
            <v>indF41</v>
          </cell>
        </row>
        <row r="721">
          <cell r="C721" t="str">
            <v>Live animal and meat sales</v>
          </cell>
          <cell r="I721" t="str">
            <v>indF42</v>
          </cell>
        </row>
        <row r="722">
          <cell r="C722" t="str">
            <v>Other costs for livestock production</v>
          </cell>
          <cell r="I722" t="str">
            <v>indF43</v>
          </cell>
        </row>
        <row r="723">
          <cell r="C723" t="str">
            <v>Crop sales</v>
          </cell>
          <cell r="I723" t="str">
            <v>indF44</v>
          </cell>
        </row>
        <row r="724">
          <cell r="C724" t="str">
            <v>Various crop operational costs</v>
          </cell>
          <cell r="I724" t="str">
            <v>indF45</v>
          </cell>
        </row>
        <row r="725">
          <cell r="C725" t="str">
            <v>Cost of crop treatments</v>
          </cell>
          <cell r="I725" t="str">
            <v>indF46</v>
          </cell>
        </row>
        <row r="726">
          <cell r="C726" t="str">
            <v>Fuel cost</v>
          </cell>
          <cell r="I726" t="str">
            <v>indF47</v>
          </cell>
        </row>
        <row r="727">
          <cell r="C727" t="str">
            <v>TFI &amp;times Area</v>
          </cell>
          <cell r="I727" t="str">
            <v>indF48</v>
          </cell>
        </row>
        <row r="728">
          <cell r="C728" t="str">
            <v>TFI</v>
          </cell>
          <cell r="I728" t="str">
            <v>indF49</v>
          </cell>
        </row>
        <row r="729">
          <cell r="C729" t="str">
            <v>Total fuel consumption</v>
          </cell>
          <cell r="I729" t="str">
            <v>indF50</v>
          </cell>
        </row>
        <row r="730">
          <cell r="C730" t="str">
            <v>Fuel consumption</v>
          </cell>
          <cell r="I730" t="str">
            <v>indF51</v>
          </cell>
        </row>
        <row r="731">
          <cell r="C731" t="str">
            <v>Natural ennemies</v>
          </cell>
          <cell r="I731" t="str">
            <v>indF52</v>
          </cell>
        </row>
        <row r="732">
          <cell r="C732" t="str">
            <v>Microbial biomass</v>
          </cell>
          <cell r="I732" t="str">
            <v>indF53</v>
          </cell>
        </row>
        <row r="733">
          <cell r="C733" t="str">
            <v>Soil meso-fauna &amp; nematodes</v>
          </cell>
          <cell r="I733" t="str">
            <v>indF54</v>
          </cell>
        </row>
        <row r="734">
          <cell r="C734" t="str">
            <v>Earthworm abundance</v>
          </cell>
          <cell r="I734" t="str">
            <v>indF55</v>
          </cell>
        </row>
        <row r="735">
          <cell r="C735" t="str">
            <v>Pollinators</v>
          </cell>
          <cell r="I735" t="str">
            <v>indF56</v>
          </cell>
        </row>
        <row r="736">
          <cell r="C736" t="str">
            <v>Direct energy consumption</v>
          </cell>
          <cell r="I736" t="str">
            <v>indF57</v>
          </cell>
        </row>
        <row r="737">
          <cell r="C737" t="str">
            <v>Energy efficiency</v>
          </cell>
          <cell r="I737" t="str">
            <v>indF58</v>
          </cell>
        </row>
        <row r="738">
          <cell r="C738" t="str">
            <v>Direct N&lt;sub&gt;2&lt;/sub&gt;O emissions from managed soil</v>
          </cell>
          <cell r="I738" t="str">
            <v>indF59</v>
          </cell>
        </row>
        <row r="739">
          <cell r="C739" t="str">
            <v>N&lt;sub&gt;2&lt;/sub&gt;O emissions from manure management</v>
          </cell>
          <cell r="I739" t="str">
            <v>indF60</v>
          </cell>
        </row>
        <row r="740">
          <cell r="C740" t="str">
            <v>CH&lt;sub&gt;4&lt;/sub&gt; emissions from manure management</v>
          </cell>
          <cell r="I740" t="str">
            <v>indF61</v>
          </cell>
        </row>
        <row r="741">
          <cell r="C741" t="str">
            <v>CH&lt;sub&gt;4&lt;/sub&gt; emissions from enteric management</v>
          </cell>
          <cell r="I741" t="str">
            <v>indF62</v>
          </cell>
        </row>
        <row r="742">
          <cell r="C742" t="str">
            <v>Soil Organic Carbon (SOC)</v>
          </cell>
          <cell r="I742" t="str">
            <v>indCr280</v>
          </cell>
        </row>
        <row r="743">
          <cell r="C743" t="str">
            <v>CO&lt;sub&gt;2&lt;/sub&gt; from land-use</v>
          </cell>
          <cell r="I743" t="str">
            <v>indF64</v>
          </cell>
        </row>
        <row r="744">
          <cell r="C744" t="str">
            <v>GHG emissions from direct energy use</v>
          </cell>
          <cell r="I744" t="str">
            <v>indF65</v>
          </cell>
        </row>
        <row r="745">
          <cell r="C745" t="str">
            <v>Global Warming Potential per ha</v>
          </cell>
          <cell r="I745" t="str">
            <v>indF66</v>
          </cell>
        </row>
        <row r="746">
          <cell r="C746" t="str">
            <v>Cumulated investment capacity</v>
          </cell>
          <cell r="I746" t="str">
            <v>indF91</v>
          </cell>
        </row>
        <row r="747">
          <cell r="C747" t="str">
            <v>Water quality related to nitrate losses</v>
          </cell>
          <cell r="I747" t="str">
            <v>indCr281</v>
          </cell>
        </row>
        <row r="748">
          <cell r="C748" t="str">
            <v>Ammonia volatilization in building and storage, and grazing</v>
          </cell>
          <cell r="I748" t="str">
            <v>indF67</v>
          </cell>
        </row>
        <row r="749">
          <cell r="C749" t="str">
            <v>Ammonia volatilization from spreading</v>
          </cell>
          <cell r="I749" t="str">
            <v>indF68</v>
          </cell>
        </row>
        <row r="750">
          <cell r="C750" t="str">
            <v>Ammonia volatilization per ha</v>
          </cell>
          <cell r="I750" t="str">
            <v>indF69</v>
          </cell>
        </row>
        <row r="751">
          <cell r="C751" t="str">
            <v>Resistance of soil to erosion</v>
          </cell>
          <cell r="I751" t="str">
            <v>indF70</v>
          </cell>
        </row>
        <row r="752">
          <cell r="C752" t="str">
            <v>Total workload (jan.)</v>
          </cell>
          <cell r="I752" t="str">
            <v>indF71</v>
          </cell>
        </row>
        <row r="753">
          <cell r="C753" t="str">
            <v>Total workload (feb.)</v>
          </cell>
          <cell r="I753" t="str">
            <v>indF72</v>
          </cell>
        </row>
        <row r="754">
          <cell r="C754" t="str">
            <v>Total workload (mar.)</v>
          </cell>
          <cell r="I754" t="str">
            <v>indF73</v>
          </cell>
        </row>
        <row r="755">
          <cell r="C755" t="str">
            <v>Total workload (apr.)</v>
          </cell>
          <cell r="I755" t="str">
            <v>indF74</v>
          </cell>
        </row>
        <row r="756">
          <cell r="C756" t="str">
            <v>Total workload (may)</v>
          </cell>
          <cell r="I756" t="str">
            <v>indF75</v>
          </cell>
        </row>
        <row r="757">
          <cell r="C757" t="str">
            <v>Total workload (june)</v>
          </cell>
          <cell r="I757" t="str">
            <v>indF76</v>
          </cell>
        </row>
        <row r="758">
          <cell r="C758" t="str">
            <v>Total workload (july)</v>
          </cell>
          <cell r="I758" t="str">
            <v>indF77</v>
          </cell>
        </row>
        <row r="759">
          <cell r="C759" t="str">
            <v>Total workload (aug.)</v>
          </cell>
          <cell r="I759" t="str">
            <v>indF78</v>
          </cell>
        </row>
        <row r="760">
          <cell r="C760" t="str">
            <v>Total workload (sept.)</v>
          </cell>
          <cell r="I760" t="str">
            <v>indF79</v>
          </cell>
        </row>
        <row r="761">
          <cell r="C761" t="str">
            <v>Total workload (oct.)</v>
          </cell>
          <cell r="I761" t="str">
            <v>indF80</v>
          </cell>
        </row>
        <row r="762">
          <cell r="C762" t="str">
            <v>Total workload (nov.)</v>
          </cell>
          <cell r="I762" t="str">
            <v>indF81</v>
          </cell>
        </row>
        <row r="763">
          <cell r="C763" t="str">
            <v>Total workload (dec.)</v>
          </cell>
          <cell r="I763" t="str">
            <v>indF82</v>
          </cell>
        </row>
        <row r="764">
          <cell r="C764" t="str">
            <v>Total workload</v>
          </cell>
          <cell r="I764" t="str">
            <v>indF83</v>
          </cell>
        </row>
        <row r="765">
          <cell r="C765" t="str">
            <v>Number of hours of external work</v>
          </cell>
          <cell r="I765" t="str">
            <v>indF84</v>
          </cell>
        </row>
        <row r="766">
          <cell r="C766" t="str">
            <v>Cost of hired workers</v>
          </cell>
          <cell r="I766" t="str">
            <v>indF85</v>
          </cell>
        </row>
        <row r="767">
          <cell r="C767" t="str">
            <v>Contribution to rural employment</v>
          </cell>
          <cell r="I767" t="str">
            <v>indF86</v>
          </cell>
        </row>
        <row r="768">
          <cell r="C768" t="str">
            <v>Number of months with peak workload</v>
          </cell>
          <cell r="I768" t="str">
            <v>indF87</v>
          </cell>
        </row>
        <row r="769">
          <cell r="C769" t="str">
            <v>Crop yield gap from conventional practices</v>
          </cell>
          <cell r="I769" t="str">
            <v>indF88</v>
          </cell>
        </row>
        <row r="770">
          <cell r="C770" t="str">
            <v>Animal yield gap from conventional practices</v>
          </cell>
          <cell r="I770" t="str">
            <v>indF89</v>
          </cell>
        </row>
        <row r="771">
          <cell r="C771" t="str">
            <v>Farmer income</v>
          </cell>
          <cell r="I771" t="str">
            <v>indF90</v>
          </cell>
        </row>
        <row r="772">
          <cell r="C772" t="str">
            <v>Direct energy consumption</v>
          </cell>
          <cell r="I772" t="str">
            <v>indF96</v>
          </cell>
        </row>
        <row r="773">
          <cell r="C773" t="str">
            <v>Soil meso-fauna</v>
          </cell>
          <cell r="I773" t="str">
            <v>indT1</v>
          </cell>
        </row>
        <row r="774">
          <cell r="C774" t="str">
            <v>Earthworm</v>
          </cell>
          <cell r="I774" t="str">
            <v>indT2</v>
          </cell>
        </row>
        <row r="775">
          <cell r="C775" t="str">
            <v>Microorganisms</v>
          </cell>
          <cell r="I775" t="str">
            <v>indT3</v>
          </cell>
        </row>
        <row r="776">
          <cell r="C776" t="str">
            <v>Soil biodiversity</v>
          </cell>
          <cell r="I776" t="str">
            <v>indT4</v>
          </cell>
        </row>
        <row r="777">
          <cell r="C777" t="str">
            <v>Natural enemies</v>
          </cell>
          <cell r="I777" t="str">
            <v>indT5</v>
          </cell>
        </row>
        <row r="778">
          <cell r="C778" t="str">
            <v>Pollinisators</v>
          </cell>
          <cell r="I778" t="str">
            <v>indT6</v>
          </cell>
        </row>
        <row r="779">
          <cell r="C779" t="str">
            <v>Above-ground biodiversity</v>
          </cell>
          <cell r="I779" t="str">
            <v>indT7</v>
          </cell>
        </row>
        <row r="780">
          <cell r="C780" t="str">
            <v>Biodiversity conservation</v>
          </cell>
          <cell r="I780" t="str">
            <v>indT8</v>
          </cell>
        </row>
        <row r="781">
          <cell r="C781" t="str">
            <v>Energy consumption</v>
          </cell>
          <cell r="I781" t="str">
            <v>indT9</v>
          </cell>
        </row>
        <row r="782">
          <cell r="C782" t="str">
            <v>Energy efficiency</v>
          </cell>
          <cell r="I782" t="str">
            <v>indT10</v>
          </cell>
        </row>
        <row r="783">
          <cell r="C783" t="str">
            <v>Pressure on energy resources</v>
          </cell>
          <cell r="I783" t="str">
            <v>indT11</v>
          </cell>
        </row>
        <row r="784">
          <cell r="C784" t="str">
            <v>Global Warming Potential</v>
          </cell>
          <cell r="I784" t="str">
            <v>indT12</v>
          </cell>
        </row>
        <row r="785">
          <cell r="C785" t="str">
            <v>Use of abiotic resources</v>
          </cell>
          <cell r="I785" t="str">
            <v>indT13</v>
          </cell>
        </row>
        <row r="786">
          <cell r="C786" t="str">
            <v>Water quality (pesticides)</v>
          </cell>
          <cell r="I786" t="str">
            <v>indT14</v>
          </cell>
        </row>
        <row r="787">
          <cell r="C787" t="str">
            <v>Water quality (nitrates losses)</v>
          </cell>
          <cell r="I787" t="str">
            <v>indT15</v>
          </cell>
        </row>
        <row r="788">
          <cell r="C788" t="str">
            <v>Water quality</v>
          </cell>
          <cell r="I788" t="str">
            <v>indT16</v>
          </cell>
        </row>
        <row r="789">
          <cell r="C789" t="str">
            <v>Ammonia volatilization</v>
          </cell>
          <cell r="I789" t="str">
            <v>indT17</v>
          </cell>
        </row>
        <row r="790">
          <cell r="C790" t="str">
            <v>Pesticides use</v>
          </cell>
          <cell r="I790" t="str">
            <v>indT18</v>
          </cell>
        </row>
        <row r="791">
          <cell r="C791" t="str">
            <v>Air quality</v>
          </cell>
          <cell r="I791" t="str">
            <v>indT19</v>
          </cell>
        </row>
        <row r="792">
          <cell r="C792" t="str">
            <v>Soil Organic Carbon</v>
          </cell>
          <cell r="I792" t="str">
            <v>indT20</v>
          </cell>
        </row>
        <row r="793">
          <cell r="C793" t="str">
            <v>Erosion</v>
          </cell>
          <cell r="I793" t="str">
            <v>indT21</v>
          </cell>
        </row>
        <row r="794">
          <cell r="C794" t="str">
            <v>Soil quality</v>
          </cell>
          <cell r="I794" t="str">
            <v>indT22</v>
          </cell>
        </row>
        <row r="795">
          <cell r="C795" t="str">
            <v>Environmental quality</v>
          </cell>
          <cell r="I795" t="str">
            <v>indT23</v>
          </cell>
        </row>
        <row r="796">
          <cell r="C796" t="str">
            <v>Environmental sustainability</v>
          </cell>
          <cell r="I796" t="str">
            <v>indT24</v>
          </cell>
        </row>
        <row r="797">
          <cell r="C797" t="str">
            <v>Animal welfare</v>
          </cell>
          <cell r="I797" t="str">
            <v>indT25</v>
          </cell>
        </row>
        <row r="798">
          <cell r="C798" t="str">
            <v>Contribution to employment</v>
          </cell>
          <cell r="I798" t="str">
            <v>indT26</v>
          </cell>
        </row>
        <row r="799">
          <cell r="C799" t="str">
            <v>Crop yield gap</v>
          </cell>
          <cell r="I799" t="str">
            <v>indT27</v>
          </cell>
        </row>
        <row r="800">
          <cell r="C800" t="str">
            <v>Animal yield gap</v>
          </cell>
          <cell r="I800" t="str">
            <v>indT28</v>
          </cell>
        </row>
        <row r="801">
          <cell r="C801" t="str">
            <v>Food production potential</v>
          </cell>
          <cell r="I801" t="str">
            <v>indT29</v>
          </cell>
        </row>
        <row r="802">
          <cell r="C802" t="str">
            <v>Society's expectations</v>
          </cell>
          <cell r="I802" t="str">
            <v>indT30</v>
          </cell>
        </row>
        <row r="803">
          <cell r="C803" t="str">
            <v>Peak workload</v>
          </cell>
          <cell r="I803" t="str">
            <v>indT31</v>
          </cell>
        </row>
        <row r="804">
          <cell r="C804" t="str">
            <v>Annual workload</v>
          </cell>
          <cell r="I804" t="str">
            <v>indT32</v>
          </cell>
        </row>
        <row r="805">
          <cell r="C805" t="str">
            <v>Workload</v>
          </cell>
          <cell r="I805" t="str">
            <v>indT33</v>
          </cell>
        </row>
        <row r="806">
          <cell r="C806" t="str">
            <v>Simplicity of the system</v>
          </cell>
          <cell r="I806" t="str">
            <v>indT34</v>
          </cell>
        </row>
        <row r="807">
          <cell r="C807" t="str">
            <v>Safety of pesticide user</v>
          </cell>
          <cell r="I807" t="str">
            <v>indT35</v>
          </cell>
        </row>
        <row r="808">
          <cell r="C808" t="str">
            <v>Working conditions</v>
          </cell>
          <cell r="I808" t="str">
            <v>indT36</v>
          </cell>
        </row>
        <row r="809">
          <cell r="C809" t="str">
            <v>Social sustainability</v>
          </cell>
          <cell r="I809" t="str">
            <v>indT37</v>
          </cell>
        </row>
        <row r="810">
          <cell r="C810" t="str">
            <v>Farm profit</v>
          </cell>
          <cell r="I810" t="str">
            <v>indT38</v>
          </cell>
        </row>
        <row r="811">
          <cell r="C811" t="str">
            <v>Farm diversification</v>
          </cell>
          <cell r="I811" t="str">
            <v>indT39</v>
          </cell>
        </row>
        <row r="812">
          <cell r="C812" t="str">
            <v>Economic efficiency</v>
          </cell>
          <cell r="I812" t="str">
            <v>indT40</v>
          </cell>
        </row>
        <row r="813">
          <cell r="C813" t="str">
            <v>Farmer income</v>
          </cell>
          <cell r="I813" t="str">
            <v>indT41</v>
          </cell>
        </row>
        <row r="814">
          <cell r="C814" t="str">
            <v>Economic sustainability</v>
          </cell>
          <cell r="I814" t="str">
            <v>indT42</v>
          </cell>
        </row>
        <row r="815">
          <cell r="C815" t="str">
            <v>Sustainability</v>
          </cell>
          <cell r="I815" t="str">
            <v>indT43</v>
          </cell>
        </row>
        <row r="816">
          <cell r="C816" t="str">
            <v>Alea effect on milk price</v>
          </cell>
          <cell r="I816" t="str">
            <v>indF93</v>
          </cell>
        </row>
        <row r="817">
          <cell r="C817" t="str">
            <v>Alea effect on input prices</v>
          </cell>
          <cell r="I817" t="str">
            <v>indF94</v>
          </cell>
        </row>
        <row r="818">
          <cell r="C818" t="str">
            <v>Alea effect on crop yields</v>
          </cell>
          <cell r="I818" t="str">
            <v>indF95</v>
          </cell>
        </row>
        <row r="819">
          <cell r="C819" t="str">
            <v>Weekly workload</v>
          </cell>
          <cell r="I819" t="str">
            <v>indF97</v>
          </cell>
        </row>
        <row r="820">
          <cell r="C820" t="str">
            <v>Share of livestock production in total gross margin</v>
          </cell>
          <cell r="I820" t="str">
            <v>indF98</v>
          </cell>
        </row>
        <row r="821">
          <cell r="C821" t="str">
            <v>Intermediate indicator for indF59 - manure production of cows</v>
          </cell>
          <cell r="I821" t="str">
            <v>indF99</v>
          </cell>
        </row>
        <row r="822">
          <cell r="C822" t="str">
            <v>Intermediate indicator for indF59 - manure production of heifers</v>
          </cell>
          <cell r="I822" t="str">
            <v>indF100</v>
          </cell>
        </row>
        <row r="823">
          <cell r="C823" t="str">
            <v>Intermediate indicator for indF59 - manure production of bulls</v>
          </cell>
          <cell r="I823" t="str">
            <v>indF101</v>
          </cell>
        </row>
        <row r="824">
          <cell r="C824" t="str">
            <v>Intermediate indicator for indF59 - manure production of steers</v>
          </cell>
          <cell r="I824" t="str">
            <v>indF102</v>
          </cell>
        </row>
        <row r="825">
          <cell r="C825" t="str">
            <v>Intermediate indicator for indF59 - slurry production of cows</v>
          </cell>
          <cell r="I825" t="str">
            <v>indF103</v>
          </cell>
        </row>
        <row r="826">
          <cell r="C826" t="str">
            <v>Intermediate indicator for indF59 - slurry production of heifers</v>
          </cell>
          <cell r="I826" t="str">
            <v>indF104</v>
          </cell>
        </row>
        <row r="827">
          <cell r="C827" t="str">
            <v>Intermediate indicator for indF59 - slurry production of bulls</v>
          </cell>
          <cell r="I827" t="str">
            <v>indF105</v>
          </cell>
        </row>
        <row r="828">
          <cell r="C828" t="str">
            <v>Intermediate indicator for indF59 - slurry production of steers</v>
          </cell>
          <cell r="I828" t="str">
            <v>indF106</v>
          </cell>
        </row>
        <row r="829">
          <cell r="C829" t="str">
            <v>Wheat yield (grain)</v>
          </cell>
          <cell r="I829" t="str">
            <v>indF107</v>
          </cell>
        </row>
        <row r="830">
          <cell r="C830" t="str">
            <v>Wheat yield (straw)</v>
          </cell>
          <cell r="I830" t="str">
            <v>indF108</v>
          </cell>
        </row>
        <row r="831">
          <cell r="C831" t="str">
            <v>Barley yield (grain)</v>
          </cell>
          <cell r="I831" t="str">
            <v>indF109</v>
          </cell>
        </row>
        <row r="832">
          <cell r="C832" t="str">
            <v>Barley yield (straw)</v>
          </cell>
          <cell r="I832" t="str">
            <v>indF110</v>
          </cell>
        </row>
        <row r="833">
          <cell r="C833" t="str">
            <v>Sugar beet yield</v>
          </cell>
          <cell r="I833" t="str">
            <v>indF111</v>
          </cell>
        </row>
        <row r="834">
          <cell r="C834" t="str">
            <v>Potato yield</v>
          </cell>
          <cell r="I834" t="str">
            <v>indF112</v>
          </cell>
        </row>
        <row r="835">
          <cell r="C835" t="str">
            <v>Rapeseed yield</v>
          </cell>
          <cell r="I835" t="str">
            <v>indF113</v>
          </cell>
        </row>
        <row r="836">
          <cell r="C836" t="str">
            <v>Pea yield</v>
          </cell>
          <cell r="I836" t="str">
            <v>indF114</v>
          </cell>
        </row>
        <row r="837">
          <cell r="C837" t="str">
            <v>Faba bean yield</v>
          </cell>
          <cell r="I837" t="str">
            <v>indF115</v>
          </cell>
        </row>
        <row r="838">
          <cell r="C838" t="str">
            <v>Maize yield</v>
          </cell>
          <cell r="I838" t="str">
            <v>indF116</v>
          </cell>
        </row>
        <row r="839">
          <cell r="C839" t="str">
            <v>Alfalfa yield</v>
          </cell>
          <cell r="I839" t="str">
            <v>indF117</v>
          </cell>
        </row>
        <row r="840">
          <cell r="C840" t="str">
            <v>Sorghum yield</v>
          </cell>
          <cell r="I840" t="str">
            <v>indF118</v>
          </cell>
        </row>
        <row r="841">
          <cell r="C841" t="str">
            <v>Temporary grass yield</v>
          </cell>
          <cell r="I841" t="str">
            <v>indF119</v>
          </cell>
        </row>
        <row r="842">
          <cell r="C842" t="str">
            <v>Wheat yield (grain)</v>
          </cell>
          <cell r="I842" t="str">
            <v>indF120</v>
          </cell>
        </row>
        <row r="843">
          <cell r="C843" t="str">
            <v>Wheat yield (straw)</v>
          </cell>
          <cell r="I843" t="str">
            <v>indF121</v>
          </cell>
        </row>
        <row r="844">
          <cell r="C844" t="str">
            <v>Barley yield (grain)</v>
          </cell>
          <cell r="I844" t="str">
            <v>indF122</v>
          </cell>
        </row>
        <row r="845">
          <cell r="C845" t="str">
            <v>Barley yield (straw)</v>
          </cell>
          <cell r="I845" t="str">
            <v>indF123</v>
          </cell>
        </row>
        <row r="846">
          <cell r="C846" t="str">
            <v>Sugar beet yield</v>
          </cell>
          <cell r="I846" t="str">
            <v>indF124</v>
          </cell>
        </row>
        <row r="847">
          <cell r="C847" t="str">
            <v>Potato yield</v>
          </cell>
          <cell r="I847" t="str">
            <v>indF125</v>
          </cell>
        </row>
        <row r="848">
          <cell r="C848" t="str">
            <v>Rapeseed yield</v>
          </cell>
          <cell r="I848" t="str">
            <v>indF126</v>
          </cell>
        </row>
        <row r="849">
          <cell r="C849" t="str">
            <v>Pea yield</v>
          </cell>
          <cell r="I849" t="str">
            <v>indF127</v>
          </cell>
        </row>
        <row r="850">
          <cell r="C850" t="str">
            <v>Faba bean yield</v>
          </cell>
          <cell r="I850" t="str">
            <v>indF128</v>
          </cell>
        </row>
        <row r="851">
          <cell r="C851" t="str">
            <v>Maize yield</v>
          </cell>
          <cell r="I851" t="str">
            <v>indF129</v>
          </cell>
        </row>
        <row r="852">
          <cell r="C852" t="str">
            <v>Alfalfa yield</v>
          </cell>
          <cell r="I852" t="str">
            <v>indF130</v>
          </cell>
        </row>
        <row r="853">
          <cell r="C853" t="str">
            <v>Sorghum yield</v>
          </cell>
          <cell r="I853" t="str">
            <v>indF131</v>
          </cell>
        </row>
        <row r="854">
          <cell r="C854" t="str">
            <v>Temporary grass yield</v>
          </cell>
          <cell r="I854" t="str">
            <v>indF132</v>
          </cell>
        </row>
        <row r="855">
          <cell r="C855" t="str">
            <v>Permanent grass yield</v>
          </cell>
          <cell r="I855" t="str">
            <v>indF133</v>
          </cell>
        </row>
        <row r="856">
          <cell r="C856" t="str">
            <v>Wheat yield (grain)</v>
          </cell>
          <cell r="I856" t="str">
            <v>indF134</v>
          </cell>
        </row>
        <row r="857">
          <cell r="C857" t="str">
            <v>Pea yield</v>
          </cell>
          <cell r="I857" t="str">
            <v>indF135</v>
          </cell>
        </row>
        <row r="858">
          <cell r="C858" t="str">
            <v>Various costs for crop production</v>
          </cell>
          <cell r="I858" t="str">
            <v>indF136</v>
          </cell>
        </row>
        <row r="859">
          <cell r="C859" t="str">
            <v>Cost of mineral fertilizer N purchased</v>
          </cell>
          <cell r="I859" t="str">
            <v>indF137</v>
          </cell>
        </row>
        <row r="860">
          <cell r="C860" t="str">
            <v>Quantity of soybean meal purchased</v>
          </cell>
          <cell r="I860" t="str">
            <v>indF138</v>
          </cell>
        </row>
        <row r="861">
          <cell r="C861" t="str">
            <v>Area of green infrastructures</v>
          </cell>
          <cell r="I861" t="str">
            <v>indF139</v>
          </cell>
        </row>
        <row r="862">
          <cell r="C862" t="str">
            <v>Area of agroforestry</v>
          </cell>
          <cell r="I862" t="str">
            <v>indF140</v>
          </cell>
        </row>
        <row r="863">
          <cell r="C863" t="str">
            <v>Routine work demand</v>
          </cell>
          <cell r="I863" t="str">
            <v>indF141</v>
          </cell>
        </row>
        <row r="864">
          <cell r="C864" t="str">
            <v>Seasonal work demand</v>
          </cell>
          <cell r="I864" t="str">
            <v>indF142</v>
          </cell>
        </row>
        <row r="865">
          <cell r="C865" t="str">
            <v>Seasonal work demand</v>
          </cell>
          <cell r="I865" t="str">
            <v>indF143</v>
          </cell>
        </row>
        <row r="866">
          <cell r="C866" t="str">
            <v>Seasonal work demand</v>
          </cell>
          <cell r="I866" t="str">
            <v>indF144</v>
          </cell>
        </row>
        <row r="867">
          <cell r="C867" t="str">
            <v>Seasonal work demand</v>
          </cell>
          <cell r="I867" t="str">
            <v>indF145</v>
          </cell>
        </row>
        <row r="868">
          <cell r="C868" t="str">
            <v>Seasonal work demand</v>
          </cell>
          <cell r="I868" t="str">
            <v>indF146</v>
          </cell>
        </row>
        <row r="869">
          <cell r="C869" t="str">
            <v>Seasonal work demand</v>
          </cell>
          <cell r="I869" t="str">
            <v>indF147</v>
          </cell>
        </row>
        <row r="870">
          <cell r="C870" t="str">
            <v>Seasonal work demand</v>
          </cell>
          <cell r="I870" t="str">
            <v>indF148</v>
          </cell>
        </row>
        <row r="871">
          <cell r="C871" t="str">
            <v>Seasonal work demand</v>
          </cell>
          <cell r="I871" t="str">
            <v>indF149</v>
          </cell>
        </row>
        <row r="872">
          <cell r="C872" t="str">
            <v>Seasonal work demand</v>
          </cell>
          <cell r="I872" t="str">
            <v>indF150</v>
          </cell>
        </row>
        <row r="873">
          <cell r="C873" t="str">
            <v>Seasonal work demand</v>
          </cell>
          <cell r="I873" t="str">
            <v>indF151</v>
          </cell>
        </row>
        <row r="874">
          <cell r="C874" t="str">
            <v>Seasonal work demand</v>
          </cell>
          <cell r="I874" t="str">
            <v>indF152</v>
          </cell>
        </row>
        <row r="875">
          <cell r="C875" t="str">
            <v>Seasonal work demand</v>
          </cell>
          <cell r="I875" t="str">
            <v>indF153</v>
          </cell>
        </row>
        <row r="876">
          <cell r="C876" t="str">
            <v>Comfortable workload area</v>
          </cell>
          <cell r="I876" t="str">
            <v>indF154</v>
          </cell>
        </row>
        <row r="877">
          <cell r="C877" t="str">
            <v>Peak workload area</v>
          </cell>
          <cell r="I877" t="str">
            <v>indF155</v>
          </cell>
        </row>
        <row r="878">
          <cell r="C878" t="str">
            <v>Working hours of temporary worker</v>
          </cell>
          <cell r="I878" t="str">
            <v>indF156</v>
          </cell>
        </row>
        <row r="879">
          <cell r="C879" t="str">
            <v>Working hours of temporary worker</v>
          </cell>
          <cell r="I879" t="str">
            <v>indF157</v>
          </cell>
        </row>
        <row r="880">
          <cell r="C880" t="str">
            <v>Working hours of temporary worker</v>
          </cell>
          <cell r="I880" t="str">
            <v>indF158</v>
          </cell>
        </row>
        <row r="881">
          <cell r="C881" t="str">
            <v>Working hours of temporary worker</v>
          </cell>
          <cell r="I881" t="str">
            <v>indF159</v>
          </cell>
        </row>
        <row r="882">
          <cell r="C882" t="str">
            <v>Working hours of temporary worker</v>
          </cell>
          <cell r="I882" t="str">
            <v>indF160</v>
          </cell>
        </row>
        <row r="883">
          <cell r="C883" t="str">
            <v>Working hours of temporary worker</v>
          </cell>
          <cell r="I883" t="str">
            <v>indF161</v>
          </cell>
        </row>
        <row r="884">
          <cell r="C884" t="str">
            <v>Working hours of temporary worker</v>
          </cell>
          <cell r="I884" t="str">
            <v>indF162</v>
          </cell>
        </row>
        <row r="885">
          <cell r="C885" t="str">
            <v>Working hours of temporary worker</v>
          </cell>
          <cell r="I885" t="str">
            <v>indF163</v>
          </cell>
        </row>
        <row r="886">
          <cell r="C886" t="str">
            <v>Working hours of temporary worker</v>
          </cell>
          <cell r="I886" t="str">
            <v>indF164</v>
          </cell>
        </row>
        <row r="887">
          <cell r="C887" t="str">
            <v>Working hours of temporary worker</v>
          </cell>
          <cell r="I887" t="str">
            <v>indF165</v>
          </cell>
        </row>
        <row r="888">
          <cell r="C888" t="str">
            <v>Working hours of temporary worker</v>
          </cell>
          <cell r="I888" t="str">
            <v>indF166</v>
          </cell>
        </row>
        <row r="889">
          <cell r="C889" t="str">
            <v>Working hours of temporary worker</v>
          </cell>
          <cell r="I889" t="str">
            <v>indF167</v>
          </cell>
        </row>
        <row r="890">
          <cell r="C890" t="str">
            <v>Susbsidies, 1&lt;sup&gt;st&lt;/sup&gt; pillar of the CAP</v>
          </cell>
          <cell r="I890" t="str">
            <v>indF168</v>
          </cell>
        </row>
        <row r="891">
          <cell r="C891" t="str">
            <v>Susbsidies, 2&lt;sup&gt;nd&lt;/sup&gt; pillar of the CAP</v>
          </cell>
          <cell r="I891" t="str">
            <v>indF169</v>
          </cell>
        </row>
        <row r="892">
          <cell r="C892" t="str">
            <v>Area of wheat</v>
          </cell>
          <cell r="I892" t="str">
            <v>indF170</v>
          </cell>
        </row>
        <row r="893">
          <cell r="C893" t="str">
            <v>Area of barley</v>
          </cell>
          <cell r="I893" t="str">
            <v>indF171</v>
          </cell>
        </row>
        <row r="894">
          <cell r="C894" t="str">
            <v>Area of sugar beet</v>
          </cell>
          <cell r="I894" t="str">
            <v>indF172</v>
          </cell>
        </row>
        <row r="895">
          <cell r="C895" t="str">
            <v>Area of potato</v>
          </cell>
          <cell r="I895" t="str">
            <v>indF173</v>
          </cell>
        </row>
        <row r="896">
          <cell r="C896" t="str">
            <v>Area of rapeseed</v>
          </cell>
          <cell r="I896" t="str">
            <v>indF174</v>
          </cell>
        </row>
        <row r="897">
          <cell r="C897" t="str">
            <v>Area of pea</v>
          </cell>
          <cell r="I897" t="str">
            <v>indF175</v>
          </cell>
        </row>
        <row r="898">
          <cell r="C898" t="str">
            <v>Area of faba bean</v>
          </cell>
          <cell r="I898" t="str">
            <v>indF176</v>
          </cell>
        </row>
        <row r="899">
          <cell r="C899" t="str">
            <v>Area of maize</v>
          </cell>
          <cell r="I899" t="str">
            <v>indF177</v>
          </cell>
        </row>
        <row r="900">
          <cell r="C900" t="str">
            <v>Area of alfalfa</v>
          </cell>
          <cell r="I900" t="str">
            <v>indF178</v>
          </cell>
        </row>
        <row r="901">
          <cell r="C901" t="str">
            <v>Area of sorghum</v>
          </cell>
          <cell r="I901" t="str">
            <v>indF179</v>
          </cell>
        </row>
        <row r="902">
          <cell r="C902" t="str">
            <v>Area of temporary grassland</v>
          </cell>
          <cell r="I902" t="str">
            <v>indF180</v>
          </cell>
        </row>
        <row r="903">
          <cell r="C903" t="str">
            <v>Mineral Fertiliser Equivalent</v>
          </cell>
          <cell r="I903" t="str">
            <v>indF181</v>
          </cell>
        </row>
        <row r="904">
          <cell r="C904" t="str">
            <v>Direct energy consumption</v>
          </cell>
          <cell r="I904" t="str">
            <v>indAn132</v>
          </cell>
        </row>
        <row r="905">
          <cell r="C905" t="str">
            <v>Cumulated score of economic sustainability</v>
          </cell>
          <cell r="I905" t="str">
            <v>indT44</v>
          </cell>
        </row>
        <row r="906">
          <cell r="C906" t="str">
            <v>Cumulated score of environmental sustainability</v>
          </cell>
          <cell r="I906" t="str">
            <v>indT45</v>
          </cell>
        </row>
        <row r="907">
          <cell r="C907" t="str">
            <v>Cumulated score of social sustainability</v>
          </cell>
          <cell r="I907" t="str">
            <v>indT46</v>
          </cell>
        </row>
        <row r="908">
          <cell r="C908" t="str">
            <v>Game score</v>
          </cell>
          <cell r="I908" t="str">
            <v>indT47</v>
          </cell>
        </row>
        <row r="909">
          <cell r="C909" t="str">
            <v>Carbon storage (UAA1)</v>
          </cell>
          <cell r="I909" t="str">
            <v>indF182</v>
          </cell>
        </row>
        <row r="910">
          <cell r="C910" t="str">
            <v>Carbon storage (UAA2)</v>
          </cell>
          <cell r="I910" t="str">
            <v>indF183</v>
          </cell>
        </row>
        <row r="911">
          <cell r="C911" t="str">
            <v>Carbon storage (PG)</v>
          </cell>
          <cell r="I911" t="str">
            <v>indF184</v>
          </cell>
        </row>
        <row r="912">
          <cell r="C912" t="str">
            <v>Carbon storage from practices</v>
          </cell>
          <cell r="I912" t="str">
            <v>indF185</v>
          </cell>
        </row>
        <row r="913">
          <cell r="C913" t="str">
            <v>Total carbon storage</v>
          </cell>
          <cell r="I913" t="str">
            <v>indF186</v>
          </cell>
        </row>
        <row r="914">
          <cell r="C914" t="str">
            <v>Building modification (A.2.4.)</v>
          </cell>
          <cell r="I914" t="str">
            <v>indF187</v>
          </cell>
        </row>
        <row r="915">
          <cell r="C915" t="str">
            <v>Building modification (A.2.6.)</v>
          </cell>
          <cell r="I915" t="str">
            <v>indF188</v>
          </cell>
        </row>
        <row r="916">
          <cell r="C916" t="str">
            <v>Livestock unit per ha of forage area</v>
          </cell>
          <cell r="I916" t="str">
            <v>indF189</v>
          </cell>
        </row>
        <row r="917">
          <cell r="C917" t="str">
            <v>Antibiotic use per animal</v>
          </cell>
          <cell r="I917" t="str">
            <v>indF190</v>
          </cell>
        </row>
        <row r="918">
          <cell r="C918" t="str">
            <v>Anthelmintic use per animal</v>
          </cell>
          <cell r="I918" t="str">
            <v>indF191</v>
          </cell>
        </row>
        <row r="919">
          <cell r="C919" t="str">
            <v>Forage autonomy</v>
          </cell>
          <cell r="I919" t="str">
            <v>indF192</v>
          </cell>
        </row>
        <row r="920">
          <cell r="C920" t="str">
            <v>Concentrate feed autonomy</v>
          </cell>
          <cell r="I920" t="str">
            <v>indF193</v>
          </cell>
        </row>
        <row r="921">
          <cell r="C921" t="str">
            <v>Protein autonomy</v>
          </cell>
          <cell r="I921" t="str">
            <v>indF194</v>
          </cell>
        </row>
        <row r="922">
          <cell r="C922" t="str">
            <v>Routine work demand</v>
          </cell>
          <cell r="I922" t="str">
            <v>indF195</v>
          </cell>
        </row>
        <row r="923">
          <cell r="C923" t="str">
            <v>Routine work demand</v>
          </cell>
          <cell r="I923" t="str">
            <v>indF196</v>
          </cell>
        </row>
        <row r="924">
          <cell r="C924" t="str">
            <v>Routine work demand</v>
          </cell>
          <cell r="I924" t="str">
            <v>indF197</v>
          </cell>
        </row>
        <row r="925">
          <cell r="C925" t="str">
            <v>Routine work demand</v>
          </cell>
          <cell r="I925" t="str">
            <v>indF198</v>
          </cell>
        </row>
        <row r="926">
          <cell r="C926" t="str">
            <v>Routine work demand</v>
          </cell>
          <cell r="I926" t="str">
            <v>indF199</v>
          </cell>
        </row>
        <row r="927">
          <cell r="C927" t="str">
            <v>Routine work demand</v>
          </cell>
          <cell r="I927" t="str">
            <v>indF200</v>
          </cell>
        </row>
        <row r="928">
          <cell r="C928" t="str">
            <v>Routine work demand</v>
          </cell>
          <cell r="I928" t="str">
            <v>indF201</v>
          </cell>
        </row>
        <row r="929">
          <cell r="C929" t="str">
            <v>Routine work demand</v>
          </cell>
          <cell r="I929" t="str">
            <v>indF202</v>
          </cell>
        </row>
        <row r="930">
          <cell r="C930" t="str">
            <v>Routine work demand</v>
          </cell>
          <cell r="I930" t="str">
            <v>indF203</v>
          </cell>
        </row>
        <row r="931">
          <cell r="C931" t="str">
            <v>Routine work demand</v>
          </cell>
          <cell r="I931" t="str">
            <v>indF204</v>
          </cell>
        </row>
        <row r="932">
          <cell r="C932" t="str">
            <v>Routine work demand</v>
          </cell>
          <cell r="I932" t="str">
            <v>indF205</v>
          </cell>
        </row>
        <row r="933">
          <cell r="C933" t="str">
            <v>Routine work demand</v>
          </cell>
          <cell r="I933" t="str">
            <v>indF206</v>
          </cell>
        </row>
        <row r="934">
          <cell r="C934"/>
          <cell r="I934"/>
        </row>
        <row r="935">
          <cell r="C935"/>
          <cell r="I935"/>
        </row>
        <row r="936">
          <cell r="C936"/>
          <cell r="I936"/>
        </row>
        <row r="937">
          <cell r="C937"/>
          <cell r="I937"/>
        </row>
        <row r="938">
          <cell r="C938"/>
          <cell r="I938"/>
        </row>
        <row r="939">
          <cell r="C939"/>
          <cell r="I939"/>
        </row>
        <row r="940">
          <cell r="C940"/>
          <cell r="I940"/>
        </row>
        <row r="941">
          <cell r="C941"/>
          <cell r="I941"/>
        </row>
        <row r="942">
          <cell r="C942"/>
          <cell r="I942"/>
        </row>
        <row r="943">
          <cell r="C943"/>
          <cell r="I943"/>
        </row>
        <row r="944">
          <cell r="C944"/>
          <cell r="I944"/>
        </row>
        <row r="945">
          <cell r="C945"/>
          <cell r="I945"/>
        </row>
        <row r="946">
          <cell r="C946"/>
          <cell r="I946"/>
        </row>
        <row r="947">
          <cell r="C947"/>
          <cell r="I947"/>
        </row>
        <row r="948">
          <cell r="C948"/>
          <cell r="I948"/>
        </row>
        <row r="949">
          <cell r="C949"/>
          <cell r="I949"/>
        </row>
        <row r="950">
          <cell r="C950"/>
          <cell r="I950"/>
        </row>
        <row r="951">
          <cell r="C951"/>
          <cell r="I951"/>
        </row>
        <row r="952">
          <cell r="C952"/>
          <cell r="I952"/>
        </row>
        <row r="953">
          <cell r="C953"/>
          <cell r="I953"/>
        </row>
        <row r="954">
          <cell r="C954"/>
          <cell r="I954"/>
        </row>
        <row r="955">
          <cell r="C955"/>
          <cell r="I955"/>
        </row>
        <row r="956">
          <cell r="C956"/>
          <cell r="I956"/>
        </row>
        <row r="957">
          <cell r="C957"/>
          <cell r="I957"/>
        </row>
        <row r="958">
          <cell r="C958"/>
          <cell r="I958"/>
        </row>
        <row r="959">
          <cell r="C959"/>
          <cell r="I959"/>
        </row>
        <row r="960">
          <cell r="C960"/>
          <cell r="I960"/>
        </row>
        <row r="961">
          <cell r="C961"/>
          <cell r="I961"/>
        </row>
        <row r="962">
          <cell r="C962"/>
          <cell r="I962"/>
        </row>
        <row r="963">
          <cell r="C963"/>
          <cell r="I963"/>
        </row>
        <row r="964">
          <cell r="C964"/>
          <cell r="I964"/>
        </row>
        <row r="965">
          <cell r="C965"/>
          <cell r="I965"/>
        </row>
        <row r="966">
          <cell r="C966"/>
          <cell r="I966"/>
        </row>
        <row r="967">
          <cell r="C967"/>
          <cell r="I967"/>
        </row>
        <row r="968">
          <cell r="C968"/>
          <cell r="I968"/>
        </row>
        <row r="969">
          <cell r="C969"/>
          <cell r="I969"/>
        </row>
        <row r="970">
          <cell r="C970"/>
          <cell r="I970"/>
        </row>
        <row r="971">
          <cell r="C971"/>
          <cell r="I971"/>
        </row>
        <row r="972">
          <cell r="C972"/>
          <cell r="I972"/>
        </row>
        <row r="973">
          <cell r="C973"/>
          <cell r="I973"/>
        </row>
        <row r="974">
          <cell r="C974"/>
          <cell r="I974"/>
        </row>
        <row r="975">
          <cell r="C975"/>
          <cell r="I975"/>
        </row>
        <row r="976">
          <cell r="C976"/>
          <cell r="I976"/>
        </row>
        <row r="977">
          <cell r="C977"/>
          <cell r="I977"/>
        </row>
        <row r="978">
          <cell r="C978"/>
          <cell r="I978"/>
        </row>
        <row r="979">
          <cell r="C979"/>
          <cell r="I979"/>
        </row>
        <row r="980">
          <cell r="C980"/>
          <cell r="I980"/>
        </row>
        <row r="981">
          <cell r="C981"/>
          <cell r="I981"/>
        </row>
        <row r="982">
          <cell r="C982"/>
          <cell r="I982"/>
        </row>
        <row r="983">
          <cell r="C983"/>
          <cell r="I983"/>
        </row>
        <row r="984">
          <cell r="C984"/>
          <cell r="I984"/>
        </row>
        <row r="985">
          <cell r="C985"/>
          <cell r="I985"/>
        </row>
        <row r="986">
          <cell r="C986"/>
          <cell r="I986"/>
        </row>
        <row r="987">
          <cell r="C987"/>
          <cell r="I987"/>
        </row>
        <row r="988">
          <cell r="C988"/>
          <cell r="I988"/>
        </row>
        <row r="989">
          <cell r="C989"/>
          <cell r="I989"/>
        </row>
        <row r="990">
          <cell r="C990"/>
          <cell r="I990"/>
        </row>
        <row r="991">
          <cell r="C991"/>
          <cell r="I991"/>
        </row>
        <row r="992">
          <cell r="C992"/>
          <cell r="I992"/>
        </row>
        <row r="993">
          <cell r="C993"/>
          <cell r="I993"/>
        </row>
        <row r="994">
          <cell r="C994"/>
          <cell r="I994"/>
        </row>
        <row r="995">
          <cell r="C995"/>
          <cell r="I995"/>
        </row>
        <row r="996">
          <cell r="C996"/>
          <cell r="I996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69"/>
  <sheetViews>
    <sheetView showGridLines="0" tabSelected="1" zoomScale="80" zoomScaleNormal="80" workbookViewId="0">
      <pane xSplit="3" ySplit="2" topLeftCell="D126" activePane="bottomRight" state="frozenSplit"/>
      <selection pane="topRight" activeCell="E1" sqref="E1"/>
      <selection pane="bottomLeft" activeCell="A16" sqref="A16"/>
      <selection pane="bottomRight" activeCell="D143" sqref="D143"/>
    </sheetView>
  </sheetViews>
  <sheetFormatPr baseColWidth="10" defaultColWidth="11.25" defaultRowHeight="15" customHeight="1" x14ac:dyDescent="0.2"/>
  <cols>
    <col min="1" max="1" width="66.375" style="1" customWidth="1"/>
    <col min="2" max="3" width="9.375" style="1" customWidth="1"/>
    <col min="4" max="29" width="11.25" style="1"/>
    <col min="30" max="30" width="11.25" style="2"/>
    <col min="31" max="16384" width="11.25" style="1"/>
  </cols>
  <sheetData>
    <row r="1" spans="1:99" ht="15" customHeight="1" x14ac:dyDescent="0.2">
      <c r="C1" s="1" t="s">
        <v>0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277</v>
      </c>
      <c r="W1" s="1" t="s">
        <v>278</v>
      </c>
      <c r="X1" s="1" t="s">
        <v>279</v>
      </c>
      <c r="Y1" s="1" t="s">
        <v>280</v>
      </c>
      <c r="Z1" s="1" t="s">
        <v>281</v>
      </c>
      <c r="AA1" s="1" t="s">
        <v>282</v>
      </c>
      <c r="AB1" s="1" t="s">
        <v>283</v>
      </c>
      <c r="AC1" s="1" t="s">
        <v>284</v>
      </c>
      <c r="AD1" s="2" t="s">
        <v>222</v>
      </c>
      <c r="AE1" s="1" t="s">
        <v>285</v>
      </c>
      <c r="AF1" s="1" t="s">
        <v>286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299</v>
      </c>
      <c r="AT1" s="1" t="s">
        <v>300</v>
      </c>
      <c r="AU1" s="1" t="s">
        <v>301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321</v>
      </c>
      <c r="BP1" s="1" t="s">
        <v>322</v>
      </c>
      <c r="BQ1" s="1" t="s">
        <v>323</v>
      </c>
      <c r="BR1" s="1" t="s">
        <v>324</v>
      </c>
      <c r="BS1" s="1" t="s">
        <v>325</v>
      </c>
      <c r="BT1" s="1" t="s">
        <v>326</v>
      </c>
      <c r="BU1" s="1" t="s">
        <v>327</v>
      </c>
      <c r="BV1" s="1" t="s">
        <v>328</v>
      </c>
      <c r="BW1" s="1" t="s">
        <v>329</v>
      </c>
      <c r="BX1" s="1" t="s">
        <v>330</v>
      </c>
      <c r="BY1" s="1" t="s">
        <v>331</v>
      </c>
      <c r="BZ1" s="1" t="s">
        <v>332</v>
      </c>
      <c r="CA1" s="1" t="s">
        <v>333</v>
      </c>
      <c r="CB1" s="1" t="s">
        <v>334</v>
      </c>
      <c r="CC1" s="1" t="s">
        <v>335</v>
      </c>
      <c r="CD1" s="1" t="s">
        <v>336</v>
      </c>
      <c r="CE1" s="1" t="s">
        <v>337</v>
      </c>
      <c r="CF1" s="1" t="s">
        <v>338</v>
      </c>
      <c r="CG1" s="1" t="s">
        <v>339</v>
      </c>
      <c r="CH1" s="1" t="s">
        <v>340</v>
      </c>
      <c r="CI1" s="1" t="s">
        <v>341</v>
      </c>
      <c r="CJ1" s="1" t="s">
        <v>342</v>
      </c>
      <c r="CK1" s="1" t="s">
        <v>343</v>
      </c>
      <c r="CL1" s="1" t="s">
        <v>344</v>
      </c>
      <c r="CM1" s="1" t="s">
        <v>345</v>
      </c>
      <c r="CN1" s="1" t="s">
        <v>346</v>
      </c>
      <c r="CO1" s="1" t="s">
        <v>347</v>
      </c>
      <c r="CP1" s="1" t="s">
        <v>348</v>
      </c>
      <c r="CQ1" s="1" t="s">
        <v>349</v>
      </c>
      <c r="CR1" s="1" t="s">
        <v>350</v>
      </c>
      <c r="CS1" s="1" t="s">
        <v>351</v>
      </c>
      <c r="CT1" s="1" t="s">
        <v>352</v>
      </c>
      <c r="CU1" s="1" t="s">
        <v>353</v>
      </c>
    </row>
    <row r="2" spans="1:99" ht="15" customHeight="1" x14ac:dyDescent="0.2">
      <c r="A2" s="6" t="s">
        <v>2</v>
      </c>
      <c r="B2" s="6" t="s">
        <v>3</v>
      </c>
      <c r="C2" s="1" t="s">
        <v>1</v>
      </c>
      <c r="D2" s="1" t="str">
        <f>INDEX([1]indicators!$I$2:$I$1491,MATCH(D$1,[1]indicators!$C$2:$C$1491,0),1)</f>
        <v>indCr1.UAA1</v>
      </c>
      <c r="E2" s="1" t="str">
        <f>INDEX([1]indicators!$I$2:$I$1491,MATCH(E$1,[1]indicators!$C$2:$C$1491,0),1)</f>
        <v>indCr2.UAA1</v>
      </c>
      <c r="F2" s="1" t="str">
        <f>INDEX([1]indicators!$I$2:$I$1491,MATCH(F$1,[1]indicators!$C$2:$C$1491,0),1)</f>
        <v>indCr3.UAA1</v>
      </c>
      <c r="G2" s="1" t="str">
        <f>INDEX([1]indicators!$I$2:$I$1491,MATCH(G$1,[1]indicators!$C$2:$C$1491,0),1)</f>
        <v>indCr4.UAA1</v>
      </c>
      <c r="H2" s="1" t="str">
        <f>INDEX([1]indicators!$I$2:$I$1491,MATCH(H$1,[1]indicators!$C$2:$C$1491,0),1)</f>
        <v>indCr5.UAA1</v>
      </c>
      <c r="I2" s="1" t="str">
        <f>INDEX([1]indicators!$I$2:$I$1491,MATCH(I$1,[1]indicators!$C$2:$C$1491,0),1)</f>
        <v>indCr6.UAA1</v>
      </c>
      <c r="J2" s="1" t="str">
        <f>INDEX([1]indicators!$I$2:$I$1491,MATCH(J$1,[1]indicators!$C$2:$C$1491,0),1)</f>
        <v>indCr7.UAA1</v>
      </c>
      <c r="K2" s="1" t="str">
        <f>INDEX([1]indicators!$I$2:$I$1491,MATCH(K$1,[1]indicators!$C$2:$C$1491,0),1)</f>
        <v>indCr8.UAA1</v>
      </c>
      <c r="L2" s="1" t="str">
        <f>INDEX([1]indicators!$I$2:$I$1491,MATCH(L$1,[1]indicators!$C$2:$C$1491,0),1)</f>
        <v>indCr9.UAA1</v>
      </c>
      <c r="M2" s="1" t="str">
        <f>INDEX([1]indicators!$I$2:$I$1491,MATCH(M$1,[1]indicators!$C$2:$C$1491,0),1)</f>
        <v>indCr10.UAA1</v>
      </c>
      <c r="N2" s="1" t="str">
        <f>INDEX([1]indicators!$I$2:$I$1491,MATCH(N$1,[1]indicators!$C$2:$C$1491,0),1)</f>
        <v>indCr11.UAA1</v>
      </c>
      <c r="O2" s="1" t="str">
        <f>INDEX([1]indicators!$I$2:$I$1491,MATCH(O$1,[1]indicators!$C$2:$C$1491,0),1)</f>
        <v>indCr12.UAA1</v>
      </c>
      <c r="P2" s="1" t="str">
        <f>INDEX([1]indicators!$I$2:$I$1491,MATCH(P$1,[1]indicators!$C$2:$C$1491,0),1)</f>
        <v>indCr13.UAA1</v>
      </c>
      <c r="Q2" s="1" t="str">
        <f>INDEX([1]indicators!$I$2:$I$1491,MATCH(Q$1,[1]indicators!$C$2:$C$1491,0),1)</f>
        <v>indCr1.UAA2</v>
      </c>
      <c r="R2" s="1" t="str">
        <f>INDEX([1]indicators!$I$2:$I$1491,MATCH(R$1,[1]indicators!$C$2:$C$1491,0),1)</f>
        <v>indCr2.UAA2</v>
      </c>
      <c r="S2" s="1" t="str">
        <f>INDEX([1]indicators!$I$2:$I$1491,MATCH(S$1,[1]indicators!$C$2:$C$1491,0),1)</f>
        <v>indCr3.UAA2</v>
      </c>
      <c r="T2" s="1" t="str">
        <f>INDEX([1]indicators!$I$2:$I$1491,MATCH(T$1,[1]indicators!$C$2:$C$1491,0),1)</f>
        <v>indCr4.UAA2</v>
      </c>
      <c r="U2" s="1" t="str">
        <f>INDEX([1]indicators!$I$2:$I$1491,MATCH(U$1,[1]indicators!$C$2:$C$1491,0),1)</f>
        <v>indCr5.UAA2</v>
      </c>
      <c r="V2" s="1" t="str">
        <f>INDEX([1]indicators!$I$2:$I$1491,MATCH(V$1,[1]indicators!$C$2:$C$1491,0),1)</f>
        <v>indCr6.UAA2</v>
      </c>
      <c r="W2" s="1" t="str">
        <f>INDEX([1]indicators!$I$2:$I$1491,MATCH(W$1,[1]indicators!$C$2:$C$1491,0),1)</f>
        <v>indCr7.UAA2</v>
      </c>
      <c r="X2" s="1" t="str">
        <f>INDEX([1]indicators!$I$2:$I$1491,MATCH(X$1,[1]indicators!$C$2:$C$1491,0),1)</f>
        <v>indCr8.UAA2</v>
      </c>
      <c r="Y2" s="1" t="str">
        <f>INDEX([1]indicators!$I$2:$I$1491,MATCH(Y$1,[1]indicators!$C$2:$C$1491,0),1)</f>
        <v>indCr9.UAA2</v>
      </c>
      <c r="Z2" s="1" t="str">
        <f>INDEX([1]indicators!$I$2:$I$1491,MATCH(Z$1,[1]indicators!$C$2:$C$1491,0),1)</f>
        <v>indCr10.UAA2</v>
      </c>
      <c r="AA2" s="1" t="str">
        <f>INDEX([1]indicators!$I$2:$I$1491,MATCH(AA$1,[1]indicators!$C$2:$C$1491,0),1)</f>
        <v>indCr11.UAA2</v>
      </c>
      <c r="AB2" s="1" t="str">
        <f>INDEX([1]indicators!$I$2:$I$1491,MATCH(AB$1,[1]indicators!$C$2:$C$1491,0),1)</f>
        <v>indCr12.UAA2</v>
      </c>
      <c r="AC2" s="1" t="str">
        <f>INDEX([1]indicators!$I$2:$I$1491,MATCH(AC$1,[1]indicators!$C$2:$C$1491,0),1)</f>
        <v>indCr13.UAA2</v>
      </c>
      <c r="AD2" s="1" t="str">
        <f>INDEX([1]indicators!$I$2:$I$1491,MATCH(AD$1,[1]indicators!$C$2:$C$1491,0),1)</f>
        <v>indCr16</v>
      </c>
      <c r="AE2" s="1" t="str">
        <f>INDEX([1]indicators!$I$2:$I$1491,MATCH(AE$1,[1]indicators!$C$2:$C$1491,0),1)</f>
        <v>indCr19.UAA1</v>
      </c>
      <c r="AF2" s="1" t="str">
        <f>INDEX([1]indicators!$I$2:$I$1491,MATCH(AF$1,[1]indicators!$C$2:$C$1491,0),1)</f>
        <v>indCr20.UAA1</v>
      </c>
      <c r="AG2" s="1" t="str">
        <f>INDEX([1]indicators!$I$2:$I$1491,MATCH(AG$1,[1]indicators!$C$2:$C$1491,0),1)</f>
        <v>indCr21.UAA1</v>
      </c>
      <c r="AH2" s="1" t="str">
        <f>INDEX([1]indicators!$I$2:$I$1491,MATCH(AH$1,[1]indicators!$C$2:$C$1491,0),1)</f>
        <v>indCr22.UAA1</v>
      </c>
      <c r="AI2" s="1" t="str">
        <f>INDEX([1]indicators!$I$2:$I$1491,MATCH(AI$1,[1]indicators!$C$2:$C$1491,0),1)</f>
        <v>indCr23.UAA1</v>
      </c>
      <c r="AJ2" s="1" t="str">
        <f>INDEX([1]indicators!$I$2:$I$1491,MATCH(AJ$1,[1]indicators!$C$2:$C$1491,0),1)</f>
        <v>indCr24.UAA1</v>
      </c>
      <c r="AK2" s="1" t="str">
        <f>INDEX([1]indicators!$I$2:$I$1491,MATCH(AK$1,[1]indicators!$C$2:$C$1491,0),1)</f>
        <v>indCr25.UAA1</v>
      </c>
      <c r="AL2" s="1" t="str">
        <f>INDEX([1]indicators!$I$2:$I$1491,MATCH(AL$1,[1]indicators!$C$2:$C$1491,0),1)</f>
        <v>indCr26.UAA1</v>
      </c>
      <c r="AM2" s="1" t="str">
        <f>INDEX([1]indicators!$I$2:$I$1491,MATCH(AM$1,[1]indicators!$C$2:$C$1491,0),1)</f>
        <v>indCr27.UAA1</v>
      </c>
      <c r="AN2" s="1" t="str">
        <f>INDEX([1]indicators!$I$2:$I$1491,MATCH(AN$1,[1]indicators!$C$2:$C$1491,0),1)</f>
        <v>indCr28.UAA1</v>
      </c>
      <c r="AO2" s="1" t="str">
        <f>INDEX([1]indicators!$I$2:$I$1491,MATCH(AO$1,[1]indicators!$C$2:$C$1491,0),1)</f>
        <v>indCr29.UAA1</v>
      </c>
      <c r="AP2" s="1" t="str">
        <f>INDEX([1]indicators!$I$2:$I$1491,MATCH(AP$1,[1]indicators!$C$2:$C$1491,0),1)</f>
        <v>indCr19.UAA2</v>
      </c>
      <c r="AQ2" s="1" t="str">
        <f>INDEX([1]indicators!$I$2:$I$1491,MATCH(AQ$1,[1]indicators!$C$2:$C$1491,0),1)</f>
        <v>indCr20.UAA2</v>
      </c>
      <c r="AR2" s="1" t="str">
        <f>INDEX([1]indicators!$I$2:$I$1491,MATCH(AR$1,[1]indicators!$C$2:$C$1491,0),1)</f>
        <v>indCr21.UAA2</v>
      </c>
      <c r="AS2" s="1" t="str">
        <f>INDEX([1]indicators!$I$2:$I$1491,MATCH(AS$1,[1]indicators!$C$2:$C$1491,0),1)</f>
        <v>indCr22.UAA2</v>
      </c>
      <c r="AT2" s="1" t="str">
        <f>INDEX([1]indicators!$I$2:$I$1491,MATCH(AT$1,[1]indicators!$C$2:$C$1491,0),1)</f>
        <v>indCr23.UAA2</v>
      </c>
      <c r="AU2" s="1" t="str">
        <f>INDEX([1]indicators!$I$2:$I$1491,MATCH(AU$1,[1]indicators!$C$2:$C$1491,0),1)</f>
        <v>indCr24.UAA2</v>
      </c>
      <c r="AV2" s="1" t="str">
        <f>INDEX([1]indicators!$I$2:$I$1491,MATCH(AV$1,[1]indicators!$C$2:$C$1491,0),1)</f>
        <v>indCr25.UAA2</v>
      </c>
      <c r="AW2" s="1" t="str">
        <f>INDEX([1]indicators!$I$2:$I$1491,MATCH(AW$1,[1]indicators!$C$2:$C$1491,0),1)</f>
        <v>indCr26.UAA2</v>
      </c>
      <c r="AX2" s="1" t="str">
        <f>INDEX([1]indicators!$I$2:$I$1491,MATCH(AX$1,[1]indicators!$C$2:$C$1491,0),1)</f>
        <v>indCr27.UAA2</v>
      </c>
      <c r="AY2" s="1" t="str">
        <f>INDEX([1]indicators!$I$2:$I$1491,MATCH(AY$1,[1]indicators!$C$2:$C$1491,0),1)</f>
        <v>indCr28.UAA2</v>
      </c>
      <c r="AZ2" s="1" t="str">
        <f>INDEX([1]indicators!$I$2:$I$1491,MATCH(AZ$1,[1]indicators!$C$2:$C$1491,0),1)</f>
        <v>indCr29.UAA2</v>
      </c>
      <c r="BA2" s="1" t="str">
        <f>INDEX([1]indicators!$I$2:$I$1491,MATCH(BA$1,[1]indicators!$C$2:$C$1491,0),1)</f>
        <v>indCr30</v>
      </c>
      <c r="BB2" s="1" t="str">
        <f>INDEX([1]indicators!$I$2:$I$1491,MATCH(BB$1,[1]indicators!$C$2:$C$1491,0),1)</f>
        <v>indCr31.UAA1</v>
      </c>
      <c r="BC2" s="1" t="str">
        <f>INDEX([1]indicators!$I$2:$I$1491,MATCH(BC$1,[1]indicators!$C$2:$C$1491,0),1)</f>
        <v>indCr32.UAA1</v>
      </c>
      <c r="BD2" s="1" t="str">
        <f>INDEX([1]indicators!$I$2:$I$1491,MATCH(BD$1,[1]indicators!$C$2:$C$1491,0),1)</f>
        <v>indCr33.UAA1</v>
      </c>
      <c r="BE2" s="1" t="str">
        <f>INDEX([1]indicators!$I$2:$I$1491,MATCH(BE$1,[1]indicators!$C$2:$C$1491,0),1)</f>
        <v>indCr34.UAA1</v>
      </c>
      <c r="BF2" s="1" t="str">
        <f>INDEX([1]indicators!$I$2:$I$1491,MATCH(BF$1,[1]indicators!$C$2:$C$1491,0),1)</f>
        <v>indCr35.UAA1</v>
      </c>
      <c r="BG2" s="1" t="str">
        <f>INDEX([1]indicators!$I$2:$I$1491,MATCH(BG$1,[1]indicators!$C$2:$C$1491,0),1)</f>
        <v>indCr36.UAA1</v>
      </c>
      <c r="BH2" s="1" t="str">
        <f>INDEX([1]indicators!$I$2:$I$1491,MATCH(BH$1,[1]indicators!$C$2:$C$1491,0),1)</f>
        <v>indCr37.UAA1</v>
      </c>
      <c r="BI2" s="1" t="str">
        <f>INDEX([1]indicators!$I$2:$I$1491,MATCH(BI$1,[1]indicators!$C$2:$C$1491,0),1)</f>
        <v>indCr38.UAA1</v>
      </c>
      <c r="BJ2" s="1" t="str">
        <f>INDEX([1]indicators!$I$2:$I$1491,MATCH(BJ$1,[1]indicators!$C$2:$C$1491,0),1)</f>
        <v>indCr39.UAA1</v>
      </c>
      <c r="BK2" s="1" t="str">
        <f>INDEX([1]indicators!$I$2:$I$1491,MATCH(BK$1,[1]indicators!$C$2:$C$1491,0),1)</f>
        <v>indCr40.UAA1</v>
      </c>
      <c r="BL2" s="1" t="str">
        <f>INDEX([1]indicators!$I$2:$I$1491,MATCH(BL$1,[1]indicators!$C$2:$C$1491,0),1)</f>
        <v>indCr41.UAA1</v>
      </c>
      <c r="BM2" s="1" t="str">
        <f>INDEX([1]indicators!$I$2:$I$1491,MATCH(BM$1,[1]indicators!$C$2:$C$1491,0),1)</f>
        <v>indCr31.UAA2</v>
      </c>
      <c r="BN2" s="1" t="str">
        <f>INDEX([1]indicators!$I$2:$I$1491,MATCH(BN$1,[1]indicators!$C$2:$C$1491,0),1)</f>
        <v>indCr32.UAA2</v>
      </c>
      <c r="BO2" s="1" t="str">
        <f>INDEX([1]indicators!$I$2:$I$1491,MATCH(BO$1,[1]indicators!$C$2:$C$1491,0),1)</f>
        <v>indCr33.UAA2</v>
      </c>
      <c r="BP2" s="1" t="str">
        <f>INDEX([1]indicators!$I$2:$I$1491,MATCH(BP$1,[1]indicators!$C$2:$C$1491,0),1)</f>
        <v>indCr34.UAA2</v>
      </c>
      <c r="BQ2" s="1" t="str">
        <f>INDEX([1]indicators!$I$2:$I$1491,MATCH(BQ$1,[1]indicators!$C$2:$C$1491,0),1)</f>
        <v>indCr35.UAA2</v>
      </c>
      <c r="BR2" s="1" t="str">
        <f>INDEX([1]indicators!$I$2:$I$1491,MATCH(BR$1,[1]indicators!$C$2:$C$1491,0),1)</f>
        <v>indCr36.UAA2</v>
      </c>
      <c r="BS2" s="1" t="str">
        <f>INDEX([1]indicators!$I$2:$I$1491,MATCH(BS$1,[1]indicators!$C$2:$C$1491,0),1)</f>
        <v>indCr37.UAA2</v>
      </c>
      <c r="BT2" s="1" t="str">
        <f>INDEX([1]indicators!$I$2:$I$1491,MATCH(BT$1,[1]indicators!$C$2:$C$1491,0),1)</f>
        <v>indCr38.UAA2</v>
      </c>
      <c r="BU2" s="1" t="str">
        <f>INDEX([1]indicators!$I$2:$I$1491,MATCH(BU$1,[1]indicators!$C$2:$C$1491,0),1)</f>
        <v>indCr39.UAA2</v>
      </c>
      <c r="BV2" s="1" t="str">
        <f>INDEX([1]indicators!$I$2:$I$1491,MATCH(BV$1,[1]indicators!$C$2:$C$1491,0),1)</f>
        <v>indCr40.UAA2</v>
      </c>
      <c r="BW2" s="1" t="str">
        <f>INDEX([1]indicators!$I$2:$I$1491,MATCH(BW$1,[1]indicators!$C$2:$C$1491,0),1)</f>
        <v>indCr41.UAA2</v>
      </c>
      <c r="BX2" s="1" t="str">
        <f>INDEX([1]indicators!$I$2:$I$1491,MATCH(BX$1,[1]indicators!$C$2:$C$1491,0),1)</f>
        <v>indCr42</v>
      </c>
      <c r="BY2" s="1" t="str">
        <f>INDEX([1]indicators!$I$2:$I$1491,MATCH(BY$1,[1]indicators!$C$2:$C$1491,0),1)</f>
        <v>indCr43.UAA1</v>
      </c>
      <c r="BZ2" s="1" t="str">
        <f>INDEX([1]indicators!$I$2:$I$1491,MATCH(BZ$1,[1]indicators!$C$2:$C$1491,0),1)</f>
        <v>indCr44.UAA1</v>
      </c>
      <c r="CA2" s="1" t="str">
        <f>INDEX([1]indicators!$I$2:$I$1491,MATCH(CA$1,[1]indicators!$C$2:$C$1491,0),1)</f>
        <v>indCr45.UAA1</v>
      </c>
      <c r="CB2" s="1" t="str">
        <f>INDEX([1]indicators!$I$2:$I$1491,MATCH(CB$1,[1]indicators!$C$2:$C$1491,0),1)</f>
        <v>indCr46.UAA1</v>
      </c>
      <c r="CC2" s="1" t="str">
        <f>INDEX([1]indicators!$I$2:$I$1491,MATCH(CC$1,[1]indicators!$C$2:$C$1491,0),1)</f>
        <v>indCr47.UAA1</v>
      </c>
      <c r="CD2" s="1" t="str">
        <f>INDEX([1]indicators!$I$2:$I$1491,MATCH(CD$1,[1]indicators!$C$2:$C$1491,0),1)</f>
        <v>indCr48.UAA1</v>
      </c>
      <c r="CE2" s="1" t="str">
        <f>INDEX([1]indicators!$I$2:$I$1491,MATCH(CE$1,[1]indicators!$C$2:$C$1491,0),1)</f>
        <v>indCr49.UAA1</v>
      </c>
      <c r="CF2" s="1" t="str">
        <f>INDEX([1]indicators!$I$2:$I$1491,MATCH(CF$1,[1]indicators!$C$2:$C$1491,0),1)</f>
        <v>indCr50.UAA1</v>
      </c>
      <c r="CG2" s="1" t="str">
        <f>INDEX([1]indicators!$I$2:$I$1491,MATCH(CG$1,[1]indicators!$C$2:$C$1491,0),1)</f>
        <v>indCr51.UAA1</v>
      </c>
      <c r="CH2" s="1" t="str">
        <f>INDEX([1]indicators!$I$2:$I$1491,MATCH(CH$1,[1]indicators!$C$2:$C$1491,0),1)</f>
        <v>indCr52.UAA1</v>
      </c>
      <c r="CI2" s="1" t="str">
        <f>INDEX([1]indicators!$I$2:$I$1491,MATCH(CI$1,[1]indicators!$C$2:$C$1491,0),1)</f>
        <v>indCr53.UAA1</v>
      </c>
      <c r="CJ2" s="1" t="str">
        <f>INDEX([1]indicators!$I$2:$I$1491,MATCH(CJ$1,[1]indicators!$C$2:$C$1491,0),1)</f>
        <v>indCr43.UAA2</v>
      </c>
      <c r="CK2" s="1" t="str">
        <f>INDEX([1]indicators!$I$2:$I$1491,MATCH(CK$1,[1]indicators!$C$2:$C$1491,0),1)</f>
        <v>indCr44.UAA2</v>
      </c>
      <c r="CL2" s="1" t="str">
        <f>INDEX([1]indicators!$I$2:$I$1491,MATCH(CL$1,[1]indicators!$C$2:$C$1491,0),1)</f>
        <v>indCr45.UAA2</v>
      </c>
      <c r="CM2" s="1" t="str">
        <f>INDEX([1]indicators!$I$2:$I$1491,MATCH(CM$1,[1]indicators!$C$2:$C$1491,0),1)</f>
        <v>indCr46.UAA2</v>
      </c>
      <c r="CN2" s="1" t="str">
        <f>INDEX([1]indicators!$I$2:$I$1491,MATCH(CN$1,[1]indicators!$C$2:$C$1491,0),1)</f>
        <v>indCr47.UAA2</v>
      </c>
      <c r="CO2" s="1" t="str">
        <f>INDEX([1]indicators!$I$2:$I$1491,MATCH(CO$1,[1]indicators!$C$2:$C$1491,0),1)</f>
        <v>indCr48.UAA2</v>
      </c>
      <c r="CP2" s="1" t="str">
        <f>INDEX([1]indicators!$I$2:$I$1491,MATCH(CP$1,[1]indicators!$C$2:$C$1491,0),1)</f>
        <v>indCr49.UAA2</v>
      </c>
      <c r="CQ2" s="1" t="str">
        <f>INDEX([1]indicators!$I$2:$I$1491,MATCH(CQ$1,[1]indicators!$C$2:$C$1491,0),1)</f>
        <v>indCr50.UAA2</v>
      </c>
      <c r="CR2" s="1" t="str">
        <f>INDEX([1]indicators!$I$2:$I$1491,MATCH(CR$1,[1]indicators!$C$2:$C$1491,0),1)</f>
        <v>indCr51.UAA2</v>
      </c>
      <c r="CS2" s="1" t="str">
        <f>INDEX([1]indicators!$I$2:$I$1491,MATCH(CS$1,[1]indicators!$C$2:$C$1491,0),1)</f>
        <v>indCr52.UAA2</v>
      </c>
      <c r="CT2" s="1" t="str">
        <f>INDEX([1]indicators!$I$2:$I$1491,MATCH(CT$1,[1]indicators!$C$2:$C$1491,0),1)</f>
        <v>indCr53.UAA2</v>
      </c>
      <c r="CU2" s="1" t="str">
        <f>INDEX([1]indicators!$I$2:$I$1491,MATCH(CU$1,[1]indicators!$C$2:$C$1491,0),1)</f>
        <v>indCr54</v>
      </c>
    </row>
    <row r="3" spans="1:99" ht="15" customHeight="1" x14ac:dyDescent="0.2">
      <c r="A3" s="8" t="str">
        <f>INDEX([1]AEP!$B$2:$B$113,MATCH($B3,[1]AEP!$C$2:$C$113,0),1)</f>
        <v>Conventional tillage (CT)</v>
      </c>
      <c r="B3" s="4" t="s">
        <v>4</v>
      </c>
      <c r="C3" s="4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</row>
    <row r="4" spans="1:99" ht="15" customHeight="1" x14ac:dyDescent="0.2">
      <c r="A4" s="4" t="str">
        <f>INDEX([1]AEP!$B$2:$B$113,MATCH($B4,[1]AEP!$C$2:$C$113,0),1)</f>
        <v>Reduced tillage (RT)</v>
      </c>
      <c r="B4" s="4" t="s">
        <v>5</v>
      </c>
      <c r="C4" s="4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</row>
    <row r="5" spans="1:99" ht="15" customHeight="1" x14ac:dyDescent="0.2">
      <c r="A5" s="6" t="str">
        <f>INDEX([1]AEP!$B$2:$B$113,MATCH($B5,[1]AEP!$C$2:$C$113,0),1)</f>
        <v>No tillage (NT)</v>
      </c>
      <c r="B5" s="6" t="s">
        <v>6</v>
      </c>
      <c r="C5" s="4"/>
      <c r="D5" s="17">
        <f>1-0.08</f>
        <v>0.92</v>
      </c>
      <c r="E5" s="17"/>
      <c r="F5" s="17">
        <f>1-0.08</f>
        <v>0.92</v>
      </c>
      <c r="G5" s="17"/>
      <c r="H5" s="17">
        <f t="shared" ref="H5:O5" si="0">1-0.08</f>
        <v>0.92</v>
      </c>
      <c r="I5" s="17">
        <f t="shared" si="0"/>
        <v>0.92</v>
      </c>
      <c r="J5" s="17">
        <f t="shared" si="0"/>
        <v>0.92</v>
      </c>
      <c r="K5" s="17">
        <f t="shared" si="0"/>
        <v>0.92</v>
      </c>
      <c r="L5" s="17">
        <f t="shared" si="0"/>
        <v>0.92</v>
      </c>
      <c r="M5" s="17">
        <f t="shared" si="0"/>
        <v>0.92</v>
      </c>
      <c r="N5" s="17">
        <f t="shared" si="0"/>
        <v>0.92</v>
      </c>
      <c r="O5" s="17">
        <f t="shared" si="0"/>
        <v>0.92</v>
      </c>
      <c r="P5" s="17"/>
      <c r="Q5" s="17">
        <v>0.92</v>
      </c>
      <c r="R5" s="17"/>
      <c r="S5" s="17">
        <v>0.92</v>
      </c>
      <c r="T5" s="17"/>
      <c r="U5" s="17">
        <v>0.92</v>
      </c>
      <c r="V5" s="17">
        <v>0.92</v>
      </c>
      <c r="W5" s="17">
        <v>0.92</v>
      </c>
      <c r="X5" s="17">
        <v>0.92</v>
      </c>
      <c r="Y5" s="17">
        <v>0.92</v>
      </c>
      <c r="Z5" s="17">
        <v>0.92</v>
      </c>
      <c r="AA5" s="17">
        <v>0.92</v>
      </c>
      <c r="AB5" s="17">
        <v>0.92</v>
      </c>
      <c r="AC5" s="16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</row>
    <row r="6" spans="1:99" ht="15" customHeight="1" x14ac:dyDescent="0.2">
      <c r="A6" s="8" t="str">
        <f>INDEX([1]AEP!$B$2:$B$113,MATCH($B6,[1]AEP!$C$2:$C$113,0),1)</f>
        <v>Fall cover crop destructed before winter</v>
      </c>
      <c r="B6" s="7" t="s">
        <v>7</v>
      </c>
      <c r="C6" s="4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22"/>
      <c r="BC6" s="22"/>
      <c r="BD6" s="22">
        <v>20</v>
      </c>
      <c r="BE6" s="22">
        <v>20</v>
      </c>
      <c r="BF6" s="22"/>
      <c r="BG6" s="23"/>
      <c r="BH6" s="23"/>
      <c r="BI6" s="22">
        <v>20</v>
      </c>
      <c r="BJ6" s="23"/>
      <c r="BK6" s="22">
        <v>20</v>
      </c>
      <c r="BL6" s="22"/>
      <c r="BM6" s="22"/>
      <c r="BN6" s="22"/>
      <c r="BO6" s="22">
        <v>20</v>
      </c>
      <c r="BP6" s="22">
        <v>20</v>
      </c>
      <c r="BQ6" s="22"/>
      <c r="BR6" s="23"/>
      <c r="BS6" s="23"/>
      <c r="BT6" s="22">
        <v>20</v>
      </c>
      <c r="BU6" s="23"/>
      <c r="BV6" s="22">
        <v>20</v>
      </c>
      <c r="BW6" s="22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spans="1:99" ht="15" customHeight="1" x14ac:dyDescent="0.2">
      <c r="A7" s="4" t="str">
        <f>INDEX([1]AEP!$B$2:$B$113,MATCH($B7,[1]AEP!$C$2:$C$113,0),1)</f>
        <v>Fall cover crop destructed early spring</v>
      </c>
      <c r="B7" s="4" t="s">
        <v>8</v>
      </c>
      <c r="C7" s="4"/>
      <c r="D7" s="16"/>
      <c r="E7" s="17"/>
      <c r="F7" s="16"/>
      <c r="G7" s="17"/>
      <c r="H7" s="16"/>
      <c r="I7" s="16"/>
      <c r="J7" s="16"/>
      <c r="K7" s="16"/>
      <c r="L7" s="16"/>
      <c r="M7" s="16"/>
      <c r="N7" s="16"/>
      <c r="O7" s="16"/>
      <c r="P7" s="17"/>
      <c r="Q7" s="16"/>
      <c r="R7" s="17"/>
      <c r="S7" s="16"/>
      <c r="T7" s="17"/>
      <c r="U7" s="16"/>
      <c r="V7" s="16"/>
      <c r="W7" s="16"/>
      <c r="X7" s="16"/>
      <c r="Y7" s="16"/>
      <c r="Z7" s="16"/>
      <c r="AA7" s="16"/>
      <c r="AB7" s="16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22"/>
      <c r="BC7" s="22"/>
      <c r="BD7" s="22">
        <v>20</v>
      </c>
      <c r="BE7" s="22">
        <v>20</v>
      </c>
      <c r="BF7" s="22"/>
      <c r="BG7" s="23"/>
      <c r="BH7" s="23"/>
      <c r="BI7" s="22">
        <v>20</v>
      </c>
      <c r="BJ7" s="23"/>
      <c r="BK7" s="22">
        <v>20</v>
      </c>
      <c r="BL7" s="22"/>
      <c r="BM7" s="22"/>
      <c r="BN7" s="22"/>
      <c r="BO7" s="22">
        <v>20</v>
      </c>
      <c r="BP7" s="22">
        <v>20</v>
      </c>
      <c r="BQ7" s="22"/>
      <c r="BR7" s="23"/>
      <c r="BS7" s="23"/>
      <c r="BT7" s="22">
        <v>20</v>
      </c>
      <c r="BU7" s="23"/>
      <c r="BV7" s="22">
        <v>20</v>
      </c>
      <c r="BW7" s="22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spans="1:99" ht="15" customHeight="1" x14ac:dyDescent="0.2">
      <c r="A8" s="6" t="str">
        <f>INDEX([1]AEP!$B$2:$B$113,MATCH($B8,[1]AEP!$C$2:$C$113,0),1)</f>
        <v>Permanent soil cover</v>
      </c>
      <c r="B8" s="6" t="s">
        <v>9</v>
      </c>
      <c r="C8" s="4"/>
      <c r="D8" s="17">
        <f>1-0.26</f>
        <v>0.74</v>
      </c>
      <c r="E8" s="17"/>
      <c r="F8" s="17">
        <f>1-0.26</f>
        <v>0.74</v>
      </c>
      <c r="G8" s="17"/>
      <c r="H8" s="17">
        <f t="shared" ref="H8:O8" si="1">1-0.26</f>
        <v>0.74</v>
      </c>
      <c r="I8" s="17">
        <f t="shared" si="1"/>
        <v>0.74</v>
      </c>
      <c r="J8" s="17">
        <f t="shared" si="1"/>
        <v>0.74</v>
      </c>
      <c r="K8" s="17">
        <f t="shared" si="1"/>
        <v>0.74</v>
      </c>
      <c r="L8" s="17">
        <f t="shared" si="1"/>
        <v>0.74</v>
      </c>
      <c r="M8" s="17">
        <f t="shared" si="1"/>
        <v>0.74</v>
      </c>
      <c r="N8" s="17">
        <f t="shared" si="1"/>
        <v>0.74</v>
      </c>
      <c r="O8" s="17">
        <f t="shared" si="1"/>
        <v>0.74</v>
      </c>
      <c r="P8" s="17"/>
      <c r="Q8" s="17">
        <v>0.74</v>
      </c>
      <c r="R8" s="17"/>
      <c r="S8" s="17">
        <v>0.74</v>
      </c>
      <c r="T8" s="17"/>
      <c r="U8" s="17">
        <v>0.74</v>
      </c>
      <c r="V8" s="17">
        <v>0.74</v>
      </c>
      <c r="W8" s="17">
        <v>0.74</v>
      </c>
      <c r="X8" s="17">
        <v>0.74</v>
      </c>
      <c r="Y8" s="17">
        <v>0.74</v>
      </c>
      <c r="Z8" s="17">
        <v>0.74</v>
      </c>
      <c r="AA8" s="17">
        <v>0.74</v>
      </c>
      <c r="AB8" s="17">
        <v>0.74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22">
        <f t="shared" ref="BB8" si="2">20/2</f>
        <v>10</v>
      </c>
      <c r="BC8" s="22">
        <f t="shared" ref="BC8:BF8" si="3">20/2</f>
        <v>10</v>
      </c>
      <c r="BD8" s="22">
        <f t="shared" si="3"/>
        <v>10</v>
      </c>
      <c r="BE8" s="22">
        <f t="shared" si="3"/>
        <v>10</v>
      </c>
      <c r="BF8" s="22">
        <f t="shared" si="3"/>
        <v>10</v>
      </c>
      <c r="BG8" s="23"/>
      <c r="BH8" s="23"/>
      <c r="BI8" s="22">
        <f t="shared" ref="BI8" si="4">20/2</f>
        <v>10</v>
      </c>
      <c r="BJ8" s="23"/>
      <c r="BK8" s="22">
        <f t="shared" ref="BK8" si="5">20/2</f>
        <v>10</v>
      </c>
      <c r="BL8" s="22"/>
      <c r="BM8" s="22">
        <f t="shared" ref="BM8" si="6">20/2</f>
        <v>10</v>
      </c>
      <c r="BN8" s="22">
        <f t="shared" ref="BN8:BQ8" si="7">20/2</f>
        <v>10</v>
      </c>
      <c r="BO8" s="22">
        <f t="shared" si="7"/>
        <v>10</v>
      </c>
      <c r="BP8" s="22">
        <f t="shared" si="7"/>
        <v>10</v>
      </c>
      <c r="BQ8" s="22">
        <f t="shared" si="7"/>
        <v>10</v>
      </c>
      <c r="BR8" s="23"/>
      <c r="BS8" s="23"/>
      <c r="BT8" s="22">
        <f t="shared" ref="BT8" si="8">20/2</f>
        <v>10</v>
      </c>
      <c r="BU8" s="23"/>
      <c r="BV8" s="22">
        <f t="shared" ref="BV8" si="9">20/2</f>
        <v>10</v>
      </c>
      <c r="BW8" s="22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spans="1:99" ht="15" customHeight="1" x14ac:dyDescent="0.2">
      <c r="A9" s="8" t="str">
        <f>INDEX([1]AEP!$B$2:$B$113,MATCH($B9,[1]AEP!$C$2:$C$113,0),1)</f>
        <v>Straw removal</v>
      </c>
      <c r="B9" s="7" t="s">
        <v>10</v>
      </c>
      <c r="C9" s="4"/>
      <c r="D9" s="16"/>
      <c r="E9" s="17"/>
      <c r="F9" s="16"/>
      <c r="G9" s="17"/>
      <c r="H9" s="16"/>
      <c r="I9" s="16"/>
      <c r="J9" s="16"/>
      <c r="K9" s="16"/>
      <c r="L9" s="16"/>
      <c r="M9" s="16"/>
      <c r="N9" s="16"/>
      <c r="O9" s="16"/>
      <c r="P9" s="17"/>
      <c r="Q9" s="16"/>
      <c r="R9" s="17"/>
      <c r="S9" s="16"/>
      <c r="T9" s="17"/>
      <c r="U9" s="16"/>
      <c r="V9" s="16"/>
      <c r="W9" s="16"/>
      <c r="X9" s="16"/>
      <c r="Y9" s="16"/>
      <c r="Z9" s="16"/>
      <c r="AA9" s="16"/>
      <c r="AB9" s="16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spans="1:99" ht="15" customHeight="1" x14ac:dyDescent="0.2">
      <c r="A10" s="6" t="str">
        <f>INDEX([1]AEP!$B$2:$B$113,MATCH($B10,[1]AEP!$C$2:$C$113,0),1)</f>
        <v>Straw left on soil</v>
      </c>
      <c r="B10" s="4" t="s">
        <v>11</v>
      </c>
      <c r="C10" s="4"/>
      <c r="D10" s="16"/>
      <c r="E10" s="16">
        <v>0</v>
      </c>
      <c r="F10" s="16"/>
      <c r="G10" s="16">
        <v>0</v>
      </c>
      <c r="H10" s="16"/>
      <c r="I10" s="16"/>
      <c r="J10" s="16"/>
      <c r="K10" s="16"/>
      <c r="L10" s="16"/>
      <c r="M10" s="16"/>
      <c r="N10" s="16"/>
      <c r="O10" s="16"/>
      <c r="P10" s="17"/>
      <c r="Q10" s="16"/>
      <c r="R10" s="16">
        <v>0</v>
      </c>
      <c r="S10" s="16"/>
      <c r="T10" s="16">
        <v>0</v>
      </c>
      <c r="U10" s="16"/>
      <c r="V10" s="16"/>
      <c r="W10" s="16"/>
      <c r="X10" s="16"/>
      <c r="Y10" s="16"/>
      <c r="Z10" s="16"/>
      <c r="AA10" s="16"/>
      <c r="AB10" s="16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22">
        <f>-20/2</f>
        <v>-10</v>
      </c>
      <c r="BC10" s="22">
        <f t="shared" ref="BC10:BF10" si="10">-20/2</f>
        <v>-10</v>
      </c>
      <c r="BD10" s="22">
        <f t="shared" si="10"/>
        <v>-10</v>
      </c>
      <c r="BE10" s="22">
        <f t="shared" si="10"/>
        <v>-10</v>
      </c>
      <c r="BF10" s="22">
        <f t="shared" si="10"/>
        <v>-10</v>
      </c>
      <c r="BG10" s="23"/>
      <c r="BH10" s="23"/>
      <c r="BI10" s="22">
        <f t="shared" ref="BI10" si="11">-20/2</f>
        <v>-10</v>
      </c>
      <c r="BJ10" s="23"/>
      <c r="BK10" s="22">
        <f t="shared" ref="BK10" si="12">-20/2</f>
        <v>-10</v>
      </c>
      <c r="BL10" s="22"/>
      <c r="BM10" s="22">
        <f>-20/2</f>
        <v>-10</v>
      </c>
      <c r="BN10" s="22">
        <f t="shared" ref="BN10:BQ10" si="13">-20/2</f>
        <v>-10</v>
      </c>
      <c r="BO10" s="22">
        <f t="shared" si="13"/>
        <v>-10</v>
      </c>
      <c r="BP10" s="22">
        <f t="shared" si="13"/>
        <v>-10</v>
      </c>
      <c r="BQ10" s="22">
        <f t="shared" si="13"/>
        <v>-10</v>
      </c>
      <c r="BR10" s="23"/>
      <c r="BS10" s="23"/>
      <c r="BT10" s="22">
        <f t="shared" ref="BT10" si="14">-20/2</f>
        <v>-10</v>
      </c>
      <c r="BU10" s="23"/>
      <c r="BV10" s="22">
        <f t="shared" ref="BV10" si="15">-20/2</f>
        <v>-10</v>
      </c>
      <c r="BW10" s="22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1" spans="1:99" ht="15" customHeight="1" x14ac:dyDescent="0.2">
      <c r="A11" s="8" t="str">
        <f>INDEX([1]AEP!$B$2:$B$113,MATCH($B11,[1]AEP!$C$2:$C$113,0),1)</f>
        <v>On-farm organic fertilizers + input of mineral fertilizer</v>
      </c>
      <c r="B11" s="8" t="s">
        <v>12</v>
      </c>
      <c r="C11" s="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</row>
    <row r="12" spans="1:99" ht="15" customHeight="1" x14ac:dyDescent="0.2">
      <c r="A12" s="6" t="str">
        <f>INDEX([1]AEP!$B$2:$B$113,MATCH($B12,[1]AEP!$C$2:$C$113,0),1)</f>
        <v>On-farm organic fertilizers only</v>
      </c>
      <c r="B12" s="10" t="s">
        <v>13</v>
      </c>
      <c r="C12" s="3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</row>
    <row r="13" spans="1:99" ht="15" customHeight="1" x14ac:dyDescent="0.2">
      <c r="A13" s="8" t="str">
        <f>INDEX([1]AEP!$B$2:$B$113,MATCH($B13,[1]AEP!$C$2:$C$113,0),1)</f>
        <v>Systematic use of chemical fungicides</v>
      </c>
      <c r="B13" s="4" t="s">
        <v>14</v>
      </c>
      <c r="C13" s="4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>
        <v>3</v>
      </c>
      <c r="BZ13" s="23">
        <v>1</v>
      </c>
      <c r="CA13" s="23">
        <v>3</v>
      </c>
      <c r="CB13" s="23">
        <v>14</v>
      </c>
      <c r="CC13" s="23">
        <v>1</v>
      </c>
      <c r="CD13" s="23">
        <v>1</v>
      </c>
      <c r="CE13" s="23">
        <v>1</v>
      </c>
      <c r="CF13" s="23"/>
      <c r="CG13" s="23"/>
      <c r="CH13" s="23"/>
      <c r="CI13" s="23"/>
      <c r="CJ13" s="23">
        <v>3</v>
      </c>
      <c r="CK13" s="23">
        <v>1</v>
      </c>
      <c r="CL13" s="23">
        <v>3</v>
      </c>
      <c r="CM13" s="23">
        <v>14</v>
      </c>
      <c r="CN13" s="23">
        <v>1</v>
      </c>
      <c r="CO13" s="23">
        <v>1</v>
      </c>
      <c r="CP13" s="23">
        <v>1</v>
      </c>
      <c r="CQ13" s="23"/>
      <c r="CR13" s="23"/>
      <c r="CS13" s="23"/>
      <c r="CT13" s="23"/>
      <c r="CU13" s="23"/>
    </row>
    <row r="14" spans="1:99" ht="15" customHeight="1" x14ac:dyDescent="0.2">
      <c r="A14" s="4" t="str">
        <f>INDEX([1]AEP!$B$2:$B$113,MATCH($B14,[1]AEP!$C$2:$C$113,0),1)</f>
        <v>Sound approach of chemical fungicides</v>
      </c>
      <c r="B14" s="4" t="s">
        <v>15</v>
      </c>
      <c r="C14" s="4"/>
      <c r="D14" s="16"/>
      <c r="E14" s="17"/>
      <c r="F14" s="16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/>
      <c r="S14" s="16"/>
      <c r="T14" s="17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>
        <v>2</v>
      </c>
      <c r="BZ14" s="23"/>
      <c r="CA14" s="23">
        <v>2</v>
      </c>
      <c r="CB14" s="23">
        <v>10</v>
      </c>
      <c r="CC14" s="23"/>
      <c r="CD14" s="23"/>
      <c r="CE14" s="23"/>
      <c r="CF14" s="23"/>
      <c r="CG14" s="23"/>
      <c r="CH14" s="23"/>
      <c r="CI14" s="23"/>
      <c r="CJ14" s="23">
        <v>2</v>
      </c>
      <c r="CK14" s="23"/>
      <c r="CL14" s="23">
        <v>2</v>
      </c>
      <c r="CM14" s="23">
        <v>10</v>
      </c>
      <c r="CN14" s="23"/>
      <c r="CO14" s="23"/>
      <c r="CP14" s="23"/>
      <c r="CQ14" s="23"/>
      <c r="CR14" s="23"/>
      <c r="CS14" s="23"/>
      <c r="CT14" s="23"/>
      <c r="CU14" s="23"/>
    </row>
    <row r="15" spans="1:99" ht="15" customHeight="1" x14ac:dyDescent="0.2">
      <c r="A15" s="4" t="str">
        <f>INDEX([1]AEP!$B$2:$B$113,MATCH($B15,[1]AEP!$C$2:$C$113,0),1)</f>
        <v>Biocontrol products against diseases</v>
      </c>
      <c r="B15" s="4" t="s">
        <v>16</v>
      </c>
      <c r="C15" s="4"/>
      <c r="D15" s="17">
        <v>0.85</v>
      </c>
      <c r="E15" s="17"/>
      <c r="F15" s="20">
        <v>0.85</v>
      </c>
      <c r="G15" s="17"/>
      <c r="H15" s="21">
        <v>0.92</v>
      </c>
      <c r="I15" s="21">
        <v>0.92</v>
      </c>
      <c r="J15" s="21">
        <v>0.95</v>
      </c>
      <c r="K15" s="21"/>
      <c r="L15" s="21">
        <v>0.9</v>
      </c>
      <c r="M15" s="21">
        <v>0.95</v>
      </c>
      <c r="N15" s="21"/>
      <c r="O15" s="21"/>
      <c r="P15" s="17"/>
      <c r="Q15" s="17">
        <v>0.85</v>
      </c>
      <c r="R15" s="17"/>
      <c r="S15" s="20">
        <v>0.85</v>
      </c>
      <c r="T15" s="17"/>
      <c r="U15" s="21">
        <v>0.92</v>
      </c>
      <c r="V15" s="21">
        <v>0.92</v>
      </c>
      <c r="W15" s="21">
        <v>0.95</v>
      </c>
      <c r="X15" s="21"/>
      <c r="Y15" s="21">
        <v>0.9</v>
      </c>
      <c r="Z15" s="21">
        <v>0.95</v>
      </c>
      <c r="AA15" s="21"/>
      <c r="AB15" s="21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>
        <v>1</v>
      </c>
      <c r="CB15" s="23">
        <v>14</v>
      </c>
      <c r="CC15" s="23"/>
      <c r="CD15" s="23"/>
      <c r="CE15" s="23"/>
      <c r="CF15" s="23"/>
      <c r="CG15" s="23"/>
      <c r="CH15" s="23"/>
      <c r="CI15" s="23"/>
      <c r="CJ15" s="23"/>
      <c r="CK15" s="23"/>
      <c r="CL15" s="23">
        <v>1</v>
      </c>
      <c r="CM15" s="23">
        <v>14</v>
      </c>
      <c r="CN15" s="23"/>
      <c r="CO15" s="23"/>
      <c r="CP15" s="23"/>
      <c r="CQ15" s="23"/>
      <c r="CR15" s="23"/>
      <c r="CS15" s="23"/>
      <c r="CT15" s="23"/>
      <c r="CU15" s="23"/>
    </row>
    <row r="16" spans="1:99" ht="15" customHeight="1" x14ac:dyDescent="0.2">
      <c r="A16" s="6" t="str">
        <f>INDEX([1]AEP!$B$2:$B$113,MATCH($B16,[1]AEP!$C$2:$C$113,0),1)</f>
        <v>No direct protection against diseases</v>
      </c>
      <c r="B16" s="6" t="s">
        <v>17</v>
      </c>
      <c r="C16" s="4"/>
      <c r="D16" s="17">
        <f>1-0.15</f>
        <v>0.85</v>
      </c>
      <c r="E16" s="17"/>
      <c r="F16" s="17">
        <f>1-0.15</f>
        <v>0.85</v>
      </c>
      <c r="G16" s="17"/>
      <c r="H16" s="17">
        <f t="shared" ref="H16:O16" si="16">1-0.15</f>
        <v>0.85</v>
      </c>
      <c r="I16" s="17">
        <f t="shared" si="16"/>
        <v>0.85</v>
      </c>
      <c r="J16" s="17">
        <f t="shared" si="16"/>
        <v>0.85</v>
      </c>
      <c r="K16" s="17">
        <f t="shared" si="16"/>
        <v>0.85</v>
      </c>
      <c r="L16" s="17">
        <f t="shared" si="16"/>
        <v>0.85</v>
      </c>
      <c r="M16" s="17">
        <f t="shared" si="16"/>
        <v>0.85</v>
      </c>
      <c r="N16" s="17">
        <f t="shared" si="16"/>
        <v>0.85</v>
      </c>
      <c r="O16" s="17">
        <f t="shared" si="16"/>
        <v>0.85</v>
      </c>
      <c r="P16" s="16"/>
      <c r="Q16" s="17">
        <v>0.85</v>
      </c>
      <c r="R16" s="17"/>
      <c r="S16" s="17">
        <v>0.85</v>
      </c>
      <c r="T16" s="17"/>
      <c r="U16" s="17">
        <v>0.85</v>
      </c>
      <c r="V16" s="17">
        <v>0.85</v>
      </c>
      <c r="W16" s="17">
        <v>0.85</v>
      </c>
      <c r="X16" s="17">
        <v>0.85</v>
      </c>
      <c r="Y16" s="17">
        <v>0.85</v>
      </c>
      <c r="Z16" s="17">
        <v>0.85</v>
      </c>
      <c r="AA16" s="17">
        <v>0.85</v>
      </c>
      <c r="AB16" s="17">
        <v>0.85</v>
      </c>
      <c r="AC16" s="16"/>
      <c r="AD16" s="16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spans="1:99" ht="15" customHeight="1" x14ac:dyDescent="0.2">
      <c r="A17" s="8" t="str">
        <f>INDEX([1]AEP!$B$2:$B$113,MATCH($B17,[1]AEP!$C$2:$C$113,0),1)</f>
        <v>Systematic and sole use of chemical herbicides</v>
      </c>
      <c r="B17" s="7" t="s">
        <v>18</v>
      </c>
      <c r="C17" s="4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>
        <v>2</v>
      </c>
      <c r="BZ17" s="23">
        <v>1</v>
      </c>
      <c r="CA17" s="23">
        <v>3</v>
      </c>
      <c r="CB17" s="23">
        <v>3</v>
      </c>
      <c r="CC17" s="23">
        <v>2</v>
      </c>
      <c r="CD17" s="23">
        <v>1</v>
      </c>
      <c r="CE17" s="23">
        <v>1</v>
      </c>
      <c r="CF17" s="23">
        <v>2</v>
      </c>
      <c r="CG17" s="23">
        <v>1</v>
      </c>
      <c r="CH17" s="23">
        <v>1</v>
      </c>
      <c r="CI17" s="23">
        <v>1</v>
      </c>
      <c r="CJ17" s="23">
        <v>2</v>
      </c>
      <c r="CK17" s="23">
        <v>1</v>
      </c>
      <c r="CL17" s="23">
        <v>3</v>
      </c>
      <c r="CM17" s="23">
        <v>3</v>
      </c>
      <c r="CN17" s="23">
        <v>2</v>
      </c>
      <c r="CO17" s="23">
        <v>1</v>
      </c>
      <c r="CP17" s="23">
        <v>1</v>
      </c>
      <c r="CQ17" s="23">
        <v>2</v>
      </c>
      <c r="CR17" s="23">
        <v>1</v>
      </c>
      <c r="CS17" s="23">
        <v>1</v>
      </c>
      <c r="CT17" s="23">
        <v>1</v>
      </c>
      <c r="CU17" s="23"/>
    </row>
    <row r="18" spans="1:99" ht="15" customHeight="1" x14ac:dyDescent="0.2">
      <c r="A18" s="4" t="str">
        <f>INDEX([1]AEP!$B$2:$B$113,MATCH($B18,[1]AEP!$C$2:$C$113,0),1)</f>
        <v>Sound approach of chemical herbicides + mechanical weed control</v>
      </c>
      <c r="B18" s="4" t="s">
        <v>19</v>
      </c>
      <c r="C18" s="4"/>
      <c r="D18" s="16"/>
      <c r="E18" s="17"/>
      <c r="F18" s="16"/>
      <c r="G18" s="17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/>
      <c r="S18" s="16"/>
      <c r="T18" s="17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>
        <v>1</v>
      </c>
      <c r="BZ18" s="23">
        <v>1</v>
      </c>
      <c r="CA18" s="23">
        <v>2</v>
      </c>
      <c r="CB18" s="23">
        <v>1</v>
      </c>
      <c r="CC18" s="23">
        <v>1</v>
      </c>
      <c r="CD18" s="23">
        <v>1</v>
      </c>
      <c r="CE18" s="23"/>
      <c r="CF18" s="23">
        <v>1</v>
      </c>
      <c r="CG18" s="23"/>
      <c r="CH18" s="23"/>
      <c r="CI18" s="23"/>
      <c r="CJ18" s="23">
        <v>1</v>
      </c>
      <c r="CK18" s="23">
        <v>1</v>
      </c>
      <c r="CL18" s="23">
        <v>2</v>
      </c>
      <c r="CM18" s="23">
        <v>1</v>
      </c>
      <c r="CN18" s="23">
        <v>1</v>
      </c>
      <c r="CO18" s="23">
        <v>1</v>
      </c>
      <c r="CP18" s="23"/>
      <c r="CQ18" s="23">
        <v>1</v>
      </c>
      <c r="CR18" s="23"/>
      <c r="CS18" s="23"/>
      <c r="CT18" s="23"/>
      <c r="CU18" s="23"/>
    </row>
    <row r="19" spans="1:99" ht="15" customHeight="1" x14ac:dyDescent="0.2">
      <c r="A19" s="6" t="str">
        <f>INDEX([1]AEP!$B$2:$B$113,MATCH($B19,[1]AEP!$C$2:$C$113,0),1)</f>
        <v>Sole use of mechanical weed control</v>
      </c>
      <c r="B19" s="6" t="s">
        <v>20</v>
      </c>
      <c r="C19" s="4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6"/>
      <c r="AD19" s="16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0" spans="1:99" ht="15" customHeight="1" x14ac:dyDescent="0.2">
      <c r="A20" s="8" t="str">
        <f>INDEX([1]AEP!$B$2:$B$113,MATCH($B20,[1]AEP!$C$2:$C$113,0),1)</f>
        <v>Systematic use of chemical insecticides / molluscicides / nematicides</v>
      </c>
      <c r="B20" s="7" t="s">
        <v>21</v>
      </c>
      <c r="C20" s="4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>
        <v>1</v>
      </c>
      <c r="BZ20" s="23"/>
      <c r="CA20" s="23">
        <v>2</v>
      </c>
      <c r="CB20" s="23">
        <v>3</v>
      </c>
      <c r="CC20" s="23">
        <v>3</v>
      </c>
      <c r="CD20" s="23">
        <v>1</v>
      </c>
      <c r="CE20" s="23">
        <v>1</v>
      </c>
      <c r="CF20" s="23">
        <v>1</v>
      </c>
      <c r="CG20" s="23">
        <v>1</v>
      </c>
      <c r="CH20" s="23"/>
      <c r="CI20" s="23"/>
      <c r="CJ20" s="23">
        <v>1</v>
      </c>
      <c r="CK20" s="23"/>
      <c r="CL20" s="23">
        <v>2</v>
      </c>
      <c r="CM20" s="23">
        <v>3</v>
      </c>
      <c r="CN20" s="23">
        <v>3</v>
      </c>
      <c r="CO20" s="23">
        <v>1</v>
      </c>
      <c r="CP20" s="23">
        <v>1</v>
      </c>
      <c r="CQ20" s="23">
        <v>1</v>
      </c>
      <c r="CR20" s="23">
        <v>1</v>
      </c>
      <c r="CS20" s="23"/>
      <c r="CT20" s="23"/>
      <c r="CU20" s="23"/>
    </row>
    <row r="21" spans="1:99" ht="15" customHeight="1" x14ac:dyDescent="0.2">
      <c r="A21" s="4" t="str">
        <f>INDEX([1]AEP!$B$2:$B$113,MATCH($B21,[1]AEP!$C$2:$C$113,0),1)</f>
        <v>Sound approach of chemical insecticides / molluscicides / nematicides</v>
      </c>
      <c r="B21" s="4" t="s">
        <v>22</v>
      </c>
      <c r="C21" s="4"/>
      <c r="D21" s="16"/>
      <c r="E21" s="17"/>
      <c r="F21" s="16"/>
      <c r="G21" s="17"/>
      <c r="H21" s="16"/>
      <c r="I21" s="16">
        <v>0.92</v>
      </c>
      <c r="J21" s="16">
        <v>0.95</v>
      </c>
      <c r="K21" s="16">
        <v>0.95</v>
      </c>
      <c r="L21" s="16"/>
      <c r="M21" s="16"/>
      <c r="N21" s="16"/>
      <c r="O21" s="16"/>
      <c r="P21" s="16"/>
      <c r="Q21" s="16"/>
      <c r="R21" s="17"/>
      <c r="S21" s="16"/>
      <c r="T21" s="17"/>
      <c r="U21" s="16"/>
      <c r="V21" s="16">
        <v>0.92</v>
      </c>
      <c r="W21" s="16">
        <v>0.95</v>
      </c>
      <c r="X21" s="16">
        <v>0.95</v>
      </c>
      <c r="Y21" s="16"/>
      <c r="Z21" s="16"/>
      <c r="AA21" s="16"/>
      <c r="AB21" s="16"/>
      <c r="AC21" s="16"/>
      <c r="AD21" s="16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>
        <v>1</v>
      </c>
      <c r="CB21" s="23">
        <v>2</v>
      </c>
      <c r="CC21" s="23">
        <v>2</v>
      </c>
      <c r="CD21" s="23"/>
      <c r="CE21" s="23"/>
      <c r="CF21" s="23">
        <v>1</v>
      </c>
      <c r="CG21" s="23"/>
      <c r="CH21" s="23"/>
      <c r="CI21" s="23"/>
      <c r="CJ21" s="23"/>
      <c r="CK21" s="23"/>
      <c r="CL21" s="23">
        <v>1</v>
      </c>
      <c r="CM21" s="23">
        <v>2</v>
      </c>
      <c r="CN21" s="23">
        <v>2</v>
      </c>
      <c r="CO21" s="23"/>
      <c r="CP21" s="23"/>
      <c r="CQ21" s="23">
        <v>1</v>
      </c>
      <c r="CR21" s="23"/>
      <c r="CS21" s="23"/>
      <c r="CT21" s="23"/>
      <c r="CU21" s="23"/>
    </row>
    <row r="22" spans="1:99" ht="15" customHeight="1" x14ac:dyDescent="0.2">
      <c r="A22" s="4" t="str">
        <f>INDEX([1]AEP!$B$2:$B$113,MATCH($B22,[1]AEP!$C$2:$C$113,0),1)</f>
        <v>Biocontrol products (incl. pyrethrin) and other natural control techniques against pests</v>
      </c>
      <c r="B22" s="4" t="s">
        <v>23</v>
      </c>
      <c r="C22" s="4"/>
      <c r="D22" s="21"/>
      <c r="E22" s="17"/>
      <c r="F22" s="21"/>
      <c r="G22" s="17"/>
      <c r="H22" s="21">
        <v>0.9</v>
      </c>
      <c r="I22" s="21">
        <v>0.85</v>
      </c>
      <c r="J22" s="21">
        <v>0.9</v>
      </c>
      <c r="K22" s="21">
        <v>0.9</v>
      </c>
      <c r="L22" s="21"/>
      <c r="M22" s="21"/>
      <c r="N22" s="21"/>
      <c r="O22" s="21"/>
      <c r="P22" s="16"/>
      <c r="Q22" s="21"/>
      <c r="R22" s="17"/>
      <c r="S22" s="21"/>
      <c r="T22" s="17"/>
      <c r="U22" s="21">
        <v>0.9</v>
      </c>
      <c r="V22" s="21">
        <v>0.85</v>
      </c>
      <c r="W22" s="21">
        <v>0.9</v>
      </c>
      <c r="X22" s="21">
        <v>0.9</v>
      </c>
      <c r="Y22" s="21"/>
      <c r="Z22" s="21"/>
      <c r="AA22" s="21"/>
      <c r="AB22" s="21"/>
      <c r="AC22" s="16"/>
      <c r="AD22" s="16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>
        <v>1</v>
      </c>
      <c r="CB22" s="23">
        <v>1</v>
      </c>
      <c r="CC22" s="23"/>
      <c r="CD22" s="23"/>
      <c r="CE22" s="23"/>
      <c r="CF22" s="23"/>
      <c r="CG22" s="23"/>
      <c r="CH22" s="23"/>
      <c r="CI22" s="23"/>
      <c r="CJ22" s="23"/>
      <c r="CK22" s="23"/>
      <c r="CL22" s="23">
        <v>1</v>
      </c>
      <c r="CM22" s="23">
        <v>1</v>
      </c>
      <c r="CN22" s="23"/>
      <c r="CO22" s="23"/>
      <c r="CP22" s="23"/>
      <c r="CQ22" s="23"/>
      <c r="CR22" s="23"/>
      <c r="CS22" s="23"/>
      <c r="CT22" s="23"/>
      <c r="CU22" s="23"/>
    </row>
    <row r="23" spans="1:99" ht="15" customHeight="1" x14ac:dyDescent="0.2">
      <c r="A23" s="6" t="str">
        <f>INDEX([1]AEP!$B$2:$B$113,MATCH($B23,[1]AEP!$C$2:$C$113,0),1)</f>
        <v>No direct protection against animal pests</v>
      </c>
      <c r="B23" s="6" t="s">
        <v>24</v>
      </c>
      <c r="C23" s="4"/>
      <c r="D23" s="21"/>
      <c r="E23" s="17"/>
      <c r="F23" s="21"/>
      <c r="G23" s="17"/>
      <c r="H23" s="21">
        <v>0.8</v>
      </c>
      <c r="I23" s="21">
        <v>0.6</v>
      </c>
      <c r="J23" s="21">
        <v>0.8</v>
      </c>
      <c r="K23" s="21">
        <v>0.85</v>
      </c>
      <c r="L23" s="21">
        <v>0.9</v>
      </c>
      <c r="M23" s="21"/>
      <c r="N23" s="21">
        <v>0.95</v>
      </c>
      <c r="O23" s="21"/>
      <c r="P23" s="17"/>
      <c r="Q23" s="21"/>
      <c r="R23" s="17"/>
      <c r="S23" s="21"/>
      <c r="T23" s="17"/>
      <c r="U23" s="21">
        <v>0.8</v>
      </c>
      <c r="V23" s="21">
        <v>0.6</v>
      </c>
      <c r="W23" s="21">
        <v>0.8</v>
      </c>
      <c r="X23" s="21">
        <v>0.85</v>
      </c>
      <c r="Y23" s="21">
        <v>0.9</v>
      </c>
      <c r="Z23" s="21"/>
      <c r="AA23" s="21">
        <v>0.95</v>
      </c>
      <c r="AB23" s="21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spans="1:99" ht="15" customHeight="1" x14ac:dyDescent="0.2">
      <c r="A24" s="8" t="str">
        <f>INDEX([1]AEP!$B$2:$B$113,MATCH($B24,[1]AEP!$C$2:$C$113,0),1)</f>
        <v>High yielding cultivars</v>
      </c>
      <c r="B24" s="7" t="s">
        <v>25</v>
      </c>
      <c r="C24" s="4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spans="1:99" ht="15" customHeight="1" x14ac:dyDescent="0.2">
      <c r="A25" s="6" t="str">
        <f>INDEX([1]AEP!$B$2:$B$113,MATCH($B25,[1]AEP!$C$2:$C$113,0),1)</f>
        <v>Resistant cultivars and/or mix of varieties</v>
      </c>
      <c r="B25" s="6" t="s">
        <v>26</v>
      </c>
      <c r="C25" s="4"/>
      <c r="D25" s="17">
        <f>1-0.05</f>
        <v>0.95</v>
      </c>
      <c r="E25" s="17"/>
      <c r="F25" s="17">
        <f>1-0.05</f>
        <v>0.95</v>
      </c>
      <c r="G25" s="17"/>
      <c r="H25" s="17">
        <f t="shared" ref="H25:O25" si="17">1-0.05</f>
        <v>0.95</v>
      </c>
      <c r="I25" s="17">
        <f t="shared" si="17"/>
        <v>0.95</v>
      </c>
      <c r="J25" s="17">
        <f t="shared" si="17"/>
        <v>0.95</v>
      </c>
      <c r="K25" s="17">
        <f t="shared" si="17"/>
        <v>0.95</v>
      </c>
      <c r="L25" s="17">
        <f t="shared" si="17"/>
        <v>0.95</v>
      </c>
      <c r="M25" s="17">
        <f t="shared" si="17"/>
        <v>0.95</v>
      </c>
      <c r="N25" s="17">
        <f t="shared" si="17"/>
        <v>0.95</v>
      </c>
      <c r="O25" s="17">
        <f t="shared" si="17"/>
        <v>0.95</v>
      </c>
      <c r="P25" s="17"/>
      <c r="Q25" s="17">
        <v>0.95</v>
      </c>
      <c r="R25" s="17"/>
      <c r="S25" s="17">
        <v>0.95</v>
      </c>
      <c r="T25" s="17"/>
      <c r="U25" s="17">
        <v>0.95</v>
      </c>
      <c r="V25" s="17">
        <v>0.95</v>
      </c>
      <c r="W25" s="17">
        <v>0.95</v>
      </c>
      <c r="X25" s="17">
        <v>0.95</v>
      </c>
      <c r="Y25" s="17">
        <v>0.95</v>
      </c>
      <c r="Z25" s="17">
        <v>0.95</v>
      </c>
      <c r="AA25" s="17">
        <v>0.95</v>
      </c>
      <c r="AB25" s="17">
        <v>0.95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spans="1:99" ht="15" customHeight="1" x14ac:dyDescent="0.2">
      <c r="A26" s="8" t="str">
        <f>INDEX([1]AEP!$B$2:$B$113,MATCH($B26,[1]AEP!$C$2:$C$113,0),1)</f>
        <v>Temporary grassland composed of grass</v>
      </c>
      <c r="B26" s="4" t="s">
        <v>27</v>
      </c>
      <c r="C26" s="4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spans="1:99" ht="15" customHeight="1" x14ac:dyDescent="0.2">
      <c r="A27" s="4" t="str">
        <f>INDEX([1]AEP!$B$2:$B$113,MATCH($B27,[1]AEP!$C$2:$C$113,0),1)</f>
        <v>Temporary grassland composed of simple grass/legume mixtures</v>
      </c>
      <c r="B27" s="4" t="s">
        <v>28</v>
      </c>
      <c r="C27" s="4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spans="1:99" ht="15" customHeight="1" x14ac:dyDescent="0.2">
      <c r="A28" s="6" t="str">
        <f>INDEX([1]AEP!$B$2:$B$113,MATCH($B28,[1]AEP!$C$2:$C$113,0),1)</f>
        <v>Temporary grassland composed of complex grass/legume mixtures</v>
      </c>
      <c r="B28" s="6" t="s">
        <v>29</v>
      </c>
      <c r="C28" s="4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spans="1:99" ht="15" customHeight="1" x14ac:dyDescent="0.2">
      <c r="A29" s="8" t="str">
        <f>INDEX([1]AEP!$B$2:$B$113,MATCH($B29,[1]AEP!$C$2:$C$113,0),1)</f>
        <v>No permanent grassland</v>
      </c>
      <c r="B29" s="7" t="s">
        <v>30</v>
      </c>
      <c r="C29" s="4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6">
        <v>0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spans="1:99" ht="15" customHeight="1" x14ac:dyDescent="0.2">
      <c r="A30" s="4" t="str">
        <f>INDEX([1]AEP!$B$2:$B$113,MATCH($B30,[1]AEP!$C$2:$C$113,0),1)</f>
        <v>Permanent grassland occupy a small percentage of the farm area</v>
      </c>
      <c r="B30" s="4" t="s">
        <v>31</v>
      </c>
      <c r="C30" s="4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6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spans="1:99" ht="15" customHeight="1" x14ac:dyDescent="0.2">
      <c r="A31" s="6" t="str">
        <f>INDEX([1]AEP!$B$2:$B$113,MATCH($B31,[1]AEP!$C$2:$C$113,0),1)</f>
        <v>Permanent grassland occupy a high percentage of the farm area</v>
      </c>
      <c r="B31" s="6" t="s">
        <v>32</v>
      </c>
      <c r="C31" s="4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6">
        <v>2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spans="1:99" ht="15" customHeight="1" x14ac:dyDescent="0.2">
      <c r="A32" s="8" t="str">
        <f>INDEX([1]AEP!$B$2:$B$113,MATCH($B32,[1]AEP!$C$2:$C$113,0),1)</f>
        <v>Sole crops</v>
      </c>
      <c r="B32" s="7" t="s">
        <v>33</v>
      </c>
      <c r="C32" s="4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6"/>
      <c r="AF32" s="16"/>
      <c r="AG32" s="16"/>
      <c r="AH32" s="16"/>
      <c r="AI32" s="16"/>
      <c r="AJ32" s="16">
        <v>0</v>
      </c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>
        <v>0</v>
      </c>
      <c r="AV32" s="16"/>
      <c r="AW32" s="16"/>
      <c r="AX32" s="16"/>
      <c r="AY32" s="16"/>
      <c r="AZ32" s="16"/>
      <c r="BA32" s="17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spans="1:99" ht="15" customHeight="1" x14ac:dyDescent="0.2">
      <c r="A33" s="6" t="str">
        <f>INDEX([1]AEP!$B$2:$B$113,MATCH($B33,[1]AEP!$C$2:$C$113,0),1)</f>
        <v>Wheat/pea intercrops</v>
      </c>
      <c r="B33" s="6" t="s">
        <v>34</v>
      </c>
      <c r="C33" s="4"/>
      <c r="D33" s="17">
        <f>1+0.12</f>
        <v>1.1200000000000001</v>
      </c>
      <c r="E33" s="16">
        <v>0</v>
      </c>
      <c r="F33" s="17"/>
      <c r="G33" s="17"/>
      <c r="H33" s="17"/>
      <c r="I33" s="17"/>
      <c r="J33" s="17"/>
      <c r="K33" s="17">
        <v>1.1200000000000001</v>
      </c>
      <c r="L33" s="17"/>
      <c r="M33" s="17"/>
      <c r="N33" s="17"/>
      <c r="O33" s="17"/>
      <c r="P33" s="17"/>
      <c r="Q33" s="17">
        <v>1.1200000000000001</v>
      </c>
      <c r="R33" s="16">
        <v>0</v>
      </c>
      <c r="S33" s="17"/>
      <c r="T33" s="17"/>
      <c r="U33" s="17"/>
      <c r="V33" s="17"/>
      <c r="W33" s="17"/>
      <c r="X33" s="17">
        <v>1.1200000000000001</v>
      </c>
      <c r="Y33" s="17"/>
      <c r="Z33" s="17"/>
      <c r="AA33" s="17"/>
      <c r="AB33" s="17"/>
      <c r="AC33" s="17"/>
      <c r="AD33" s="17"/>
      <c r="AE33" s="16">
        <v>0.5</v>
      </c>
      <c r="AF33" s="17"/>
      <c r="AG33" s="17"/>
      <c r="AH33" s="17"/>
      <c r="AI33" s="17"/>
      <c r="AJ33" s="16"/>
      <c r="AK33" s="17"/>
      <c r="AL33" s="17"/>
      <c r="AM33" s="17"/>
      <c r="AN33" s="17"/>
      <c r="AO33" s="17"/>
      <c r="AP33" s="16">
        <v>0.5</v>
      </c>
      <c r="AQ33" s="17"/>
      <c r="AR33" s="17"/>
      <c r="AS33" s="17"/>
      <c r="AT33" s="17"/>
      <c r="AU33" s="16"/>
      <c r="AV33" s="17"/>
      <c r="AW33" s="17"/>
      <c r="AX33" s="17"/>
      <c r="AY33" s="17"/>
      <c r="AZ33" s="17"/>
      <c r="BA33" s="17"/>
      <c r="BB33" s="22">
        <v>5</v>
      </c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2">
        <v>5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4" spans="1:99" ht="15" customHeight="1" x14ac:dyDescent="0.2">
      <c r="A34" s="8" t="str">
        <f>INDEX([1]AEP!$B$2:$B$113,MATCH($B34,[1]AEP!$C$2:$C$113,0),1)</f>
        <v>CS #1: maize - wheat</v>
      </c>
      <c r="B34" s="8" t="s">
        <v>35</v>
      </c>
      <c r="C34" s="3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6">
        <v>0.5</v>
      </c>
      <c r="AF34" s="16">
        <v>0</v>
      </c>
      <c r="AG34" s="16">
        <v>0</v>
      </c>
      <c r="AH34" s="16">
        <v>0</v>
      </c>
      <c r="AI34" s="16">
        <v>0</v>
      </c>
      <c r="AJ34" s="17"/>
      <c r="AK34" s="16">
        <v>0</v>
      </c>
      <c r="AL34" s="16">
        <v>0.5</v>
      </c>
      <c r="AM34" s="16">
        <v>0</v>
      </c>
      <c r="AN34" s="16">
        <v>0</v>
      </c>
      <c r="AO34" s="16">
        <v>0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</row>
    <row r="35" spans="1:99" ht="15" customHeight="1" x14ac:dyDescent="0.2">
      <c r="A35" s="4" t="str">
        <f>INDEX([1]AEP!$B$2:$B$113,MATCH($B35,[1]AEP!$C$2:$C$113,0),1)</f>
        <v>CS #1: rapeseed - wheat - maize - wheat</v>
      </c>
      <c r="B35" s="3" t="s">
        <v>36</v>
      </c>
      <c r="C35" s="3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6">
        <v>0.5</v>
      </c>
      <c r="AF35" s="16">
        <v>0</v>
      </c>
      <c r="AG35" s="16">
        <v>0</v>
      </c>
      <c r="AH35" s="16">
        <v>0</v>
      </c>
      <c r="AI35" s="16">
        <v>0.25</v>
      </c>
      <c r="AJ35" s="17"/>
      <c r="AK35" s="16">
        <v>0</v>
      </c>
      <c r="AL35" s="16">
        <v>0.25</v>
      </c>
      <c r="AM35" s="16">
        <v>0</v>
      </c>
      <c r="AN35" s="16">
        <v>0</v>
      </c>
      <c r="AO35" s="16"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22">
        <f>20/2</f>
        <v>10</v>
      </c>
      <c r="BC35" s="22"/>
      <c r="BD35" s="22"/>
      <c r="BE35" s="22"/>
      <c r="BF35" s="22"/>
      <c r="BG35" s="23"/>
      <c r="BH35" s="23"/>
      <c r="BI35" s="22"/>
      <c r="BJ35" s="23"/>
      <c r="BK35" s="22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</row>
    <row r="36" spans="1:99" ht="15" customHeight="1" x14ac:dyDescent="0.2">
      <c r="A36" s="4" t="str">
        <f>INDEX([1]AEP!$B$2:$B$113,MATCH($B36,[1]AEP!$C$2:$C$113,0),1)</f>
        <v>CS #1: maize - wheat - maize - barley</v>
      </c>
      <c r="B36" s="3" t="s">
        <v>37</v>
      </c>
      <c r="C36" s="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6">
        <v>0.25</v>
      </c>
      <c r="AF36" s="16">
        <v>0.25</v>
      </c>
      <c r="AG36" s="16">
        <v>0</v>
      </c>
      <c r="AH36" s="16">
        <v>0</v>
      </c>
      <c r="AI36" s="16">
        <v>0</v>
      </c>
      <c r="AJ36" s="17"/>
      <c r="AK36" s="16">
        <v>0</v>
      </c>
      <c r="AL36" s="16">
        <v>0.5</v>
      </c>
      <c r="AM36" s="16">
        <v>0</v>
      </c>
      <c r="AN36" s="16">
        <v>0</v>
      </c>
      <c r="AO36" s="16">
        <v>0</v>
      </c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</row>
    <row r="37" spans="1:99" ht="15" customHeight="1" x14ac:dyDescent="0.2">
      <c r="A37" s="4" t="str">
        <f>INDEX([1]AEP!$B$2:$B$113,MATCH($B37,[1]AEP!$C$2:$C$113,0),1)</f>
        <v>CS #1: alfalfa (3 years) - maize - wheat</v>
      </c>
      <c r="B37" s="3" t="s">
        <v>38</v>
      </c>
      <c r="C37" s="3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6">
        <v>0.2</v>
      </c>
      <c r="AF37" s="16">
        <v>0</v>
      </c>
      <c r="AG37" s="16">
        <v>0</v>
      </c>
      <c r="AH37" s="16">
        <v>0</v>
      </c>
      <c r="AI37" s="16">
        <v>0</v>
      </c>
      <c r="AJ37" s="17"/>
      <c r="AK37" s="16">
        <v>0</v>
      </c>
      <c r="AL37" s="16">
        <v>0.2</v>
      </c>
      <c r="AM37" s="16">
        <v>0.6</v>
      </c>
      <c r="AN37" s="16">
        <v>0</v>
      </c>
      <c r="AO37" s="16"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22"/>
      <c r="BC37" s="22"/>
      <c r="BD37" s="22"/>
      <c r="BE37" s="22"/>
      <c r="BF37" s="22"/>
      <c r="BG37" s="23"/>
      <c r="BH37" s="23"/>
      <c r="BI37" s="22">
        <v>30</v>
      </c>
      <c r="BJ37" s="23"/>
      <c r="BK37" s="22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</row>
    <row r="38" spans="1:99" ht="15" customHeight="1" x14ac:dyDescent="0.2">
      <c r="A38" s="4" t="str">
        <f>INDEX([1]AEP!$B$2:$B$113,MATCH($B38,[1]AEP!$C$2:$C$113,0),1)</f>
        <v>CS #1: faba bean - wheat - rapeseed - maize</v>
      </c>
      <c r="B38" s="3" t="s">
        <v>39</v>
      </c>
      <c r="C38" s="3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6">
        <v>0.25</v>
      </c>
      <c r="AF38" s="16">
        <v>0</v>
      </c>
      <c r="AG38" s="16">
        <v>0</v>
      </c>
      <c r="AH38" s="16">
        <v>0</v>
      </c>
      <c r="AI38" s="16">
        <v>0.25</v>
      </c>
      <c r="AJ38" s="17"/>
      <c r="AK38" s="16">
        <v>0.25</v>
      </c>
      <c r="AL38" s="16">
        <v>0.25</v>
      </c>
      <c r="AM38" s="16">
        <v>0</v>
      </c>
      <c r="AN38" s="16">
        <v>0</v>
      </c>
      <c r="AO38" s="16"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22">
        <v>20</v>
      </c>
      <c r="BC38" s="22"/>
      <c r="BD38" s="22"/>
      <c r="BE38" s="22"/>
      <c r="BF38" s="22"/>
      <c r="BG38" s="23"/>
      <c r="BH38" s="23"/>
      <c r="BI38" s="22">
        <v>20</v>
      </c>
      <c r="BJ38" s="23"/>
      <c r="BK38" s="22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</row>
    <row r="39" spans="1:99" ht="15" customHeight="1" x14ac:dyDescent="0.2">
      <c r="A39" s="4" t="str">
        <f>INDEX([1]AEP!$B$2:$B$113,MATCH($B39,[1]AEP!$C$2:$C$113,0),1)</f>
        <v>CS #1: grassland (4 years) - maize - maize</v>
      </c>
      <c r="B39" s="3" t="s">
        <v>40</v>
      </c>
      <c r="C39" s="3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7"/>
      <c r="AK39" s="16">
        <v>0</v>
      </c>
      <c r="AL39" s="16">
        <f>2/6</f>
        <v>0.33333333333333331</v>
      </c>
      <c r="AM39" s="16">
        <v>0</v>
      </c>
      <c r="AN39" s="16">
        <v>0</v>
      </c>
      <c r="AO39" s="16">
        <f>4/6</f>
        <v>0.66666666666666663</v>
      </c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22"/>
      <c r="BC39" s="22"/>
      <c r="BD39" s="22"/>
      <c r="BE39" s="22"/>
      <c r="BF39" s="22"/>
      <c r="BG39" s="23"/>
      <c r="BH39" s="23"/>
      <c r="BI39" s="22">
        <f>(110+30)/2</f>
        <v>70</v>
      </c>
      <c r="BJ39" s="23"/>
      <c r="BK39" s="22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</row>
    <row r="40" spans="1:99" ht="15" customHeight="1" x14ac:dyDescent="0.2">
      <c r="A40" s="4" t="str">
        <f>INDEX([1]AEP!$B$2:$B$113,MATCH($B40,[1]AEP!$C$2:$C$113,0),1)</f>
        <v>CS #1: grassland (3 years) - maize - wheat - barley</v>
      </c>
      <c r="B40" s="3" t="s">
        <v>41</v>
      </c>
      <c r="C40" s="3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6">
        <f>1/6</f>
        <v>0.16666666666666666</v>
      </c>
      <c r="AF40" s="16">
        <f>1/6</f>
        <v>0.16666666666666666</v>
      </c>
      <c r="AG40" s="16">
        <v>0</v>
      </c>
      <c r="AH40" s="16">
        <v>0</v>
      </c>
      <c r="AI40" s="16">
        <v>0</v>
      </c>
      <c r="AJ40" s="17"/>
      <c r="AK40" s="16">
        <v>0</v>
      </c>
      <c r="AL40" s="16">
        <f>1/6</f>
        <v>0.16666666666666666</v>
      </c>
      <c r="AM40" s="16">
        <v>0</v>
      </c>
      <c r="AN40" s="16">
        <v>0</v>
      </c>
      <c r="AO40" s="16">
        <f>3/6</f>
        <v>0.5</v>
      </c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22"/>
      <c r="BC40" s="22"/>
      <c r="BD40" s="22"/>
      <c r="BE40" s="22"/>
      <c r="BF40" s="22"/>
      <c r="BG40" s="23"/>
      <c r="BH40" s="23"/>
      <c r="BI40" s="22">
        <v>70</v>
      </c>
      <c r="BJ40" s="23"/>
      <c r="BK40" s="22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</row>
    <row r="41" spans="1:99" ht="15" customHeight="1" x14ac:dyDescent="0.2">
      <c r="A41" s="4" t="str">
        <f>INDEX([1]AEP!$B$2:$B$113,MATCH($B41,[1]AEP!$C$2:$C$113,0),1)</f>
        <v>CS #1: faba bean - wheat - maize - alfalfa (3 years) - barley - maize</v>
      </c>
      <c r="B41" s="3" t="s">
        <v>42</v>
      </c>
      <c r="C41" s="3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6">
        <f>1/8</f>
        <v>0.125</v>
      </c>
      <c r="AF41" s="16">
        <f>1/8</f>
        <v>0.125</v>
      </c>
      <c r="AG41" s="16">
        <v>0</v>
      </c>
      <c r="AH41" s="16">
        <v>0</v>
      </c>
      <c r="AI41" s="16">
        <v>0</v>
      </c>
      <c r="AJ41" s="17"/>
      <c r="AK41" s="16">
        <f>1/8</f>
        <v>0.125</v>
      </c>
      <c r="AL41" s="16">
        <f>2/8</f>
        <v>0.25</v>
      </c>
      <c r="AM41" s="16">
        <f>3/8</f>
        <v>0.375</v>
      </c>
      <c r="AN41" s="16">
        <v>0</v>
      </c>
      <c r="AO41" s="16">
        <v>0</v>
      </c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22">
        <v>20</v>
      </c>
      <c r="BC41" s="22">
        <v>30</v>
      </c>
      <c r="BD41" s="22"/>
      <c r="BE41" s="22"/>
      <c r="BF41" s="22"/>
      <c r="BG41" s="23"/>
      <c r="BH41" s="23"/>
      <c r="BI41" s="22"/>
      <c r="BJ41" s="23"/>
      <c r="BK41" s="22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</row>
    <row r="42" spans="1:99" ht="15" customHeight="1" x14ac:dyDescent="0.2">
      <c r="A42" s="6" t="str">
        <f>INDEX([1]AEP!$B$2:$B$113,MATCH($B42,[1]AEP!$C$2:$C$113,0),1)</f>
        <v>CS #1: grassland (3 years) - maize - wheat - faba bean - rapeseed</v>
      </c>
      <c r="B42" s="10" t="s">
        <v>43</v>
      </c>
      <c r="C42" s="3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6">
        <f>1/7</f>
        <v>0.14285714285714285</v>
      </c>
      <c r="AF42" s="16">
        <v>0</v>
      </c>
      <c r="AG42" s="16">
        <v>0</v>
      </c>
      <c r="AH42" s="16">
        <v>0</v>
      </c>
      <c r="AI42" s="16">
        <f>1/7</f>
        <v>0.14285714285714285</v>
      </c>
      <c r="AJ42" s="17"/>
      <c r="AK42" s="16">
        <f>1/7</f>
        <v>0.14285714285714285</v>
      </c>
      <c r="AL42" s="16">
        <f>1/7</f>
        <v>0.14285714285714285</v>
      </c>
      <c r="AM42" s="16">
        <v>0</v>
      </c>
      <c r="AN42" s="16">
        <v>0</v>
      </c>
      <c r="AO42" s="16">
        <f>3/7</f>
        <v>0.42857142857142855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22"/>
      <c r="BC42" s="22"/>
      <c r="BD42" s="22"/>
      <c r="BE42" s="22"/>
      <c r="BF42" s="22">
        <v>20</v>
      </c>
      <c r="BG42" s="23"/>
      <c r="BH42" s="23"/>
      <c r="BI42" s="22">
        <v>70</v>
      </c>
      <c r="BJ42" s="23"/>
      <c r="BK42" s="22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</row>
    <row r="43" spans="1:99" ht="15" customHeight="1" x14ac:dyDescent="0.2">
      <c r="A43" s="8" t="str">
        <f>INDEX([1]AEP!$B$2:$B$113,MATCH($B43,[1]AEP!$C$2:$C$113,0),1)</f>
        <v>CS #2: maize - wheat</v>
      </c>
      <c r="B43" s="8" t="s">
        <v>44</v>
      </c>
      <c r="C43" s="3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6">
        <v>0.5</v>
      </c>
      <c r="AQ43" s="16">
        <v>0</v>
      </c>
      <c r="AR43" s="16">
        <v>0</v>
      </c>
      <c r="AS43" s="16">
        <v>0</v>
      </c>
      <c r="AT43" s="16">
        <v>0</v>
      </c>
      <c r="AU43" s="17"/>
      <c r="AV43" s="16">
        <v>0</v>
      </c>
      <c r="AW43" s="16">
        <v>0.5</v>
      </c>
      <c r="AX43" s="16">
        <v>0</v>
      </c>
      <c r="AY43" s="16">
        <v>0</v>
      </c>
      <c r="AZ43" s="16">
        <v>0</v>
      </c>
      <c r="BA43" s="17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</row>
    <row r="44" spans="1:99" ht="15" customHeight="1" x14ac:dyDescent="0.2">
      <c r="A44" s="4" t="str">
        <f>INDEX([1]AEP!$B$2:$B$113,MATCH($B44,[1]AEP!$C$2:$C$113,0),1)</f>
        <v>CS #2: rapeseed - wheat - maize - wheat</v>
      </c>
      <c r="B44" s="3" t="s">
        <v>45</v>
      </c>
      <c r="C44" s="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6">
        <v>0.5</v>
      </c>
      <c r="AQ44" s="16">
        <v>0</v>
      </c>
      <c r="AR44" s="16">
        <v>0</v>
      </c>
      <c r="AS44" s="16">
        <v>0</v>
      </c>
      <c r="AT44" s="16">
        <v>0.25</v>
      </c>
      <c r="AU44" s="17"/>
      <c r="AV44" s="16">
        <v>0</v>
      </c>
      <c r="AW44" s="16">
        <v>0.25</v>
      </c>
      <c r="AX44" s="16">
        <v>0</v>
      </c>
      <c r="AY44" s="16">
        <v>0</v>
      </c>
      <c r="AZ44" s="16">
        <v>0</v>
      </c>
      <c r="BA44" s="17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2">
        <f>20/2</f>
        <v>10</v>
      </c>
      <c r="BN44" s="22"/>
      <c r="BO44" s="22"/>
      <c r="BP44" s="22"/>
      <c r="BQ44" s="22"/>
      <c r="BR44" s="23"/>
      <c r="BS44" s="23"/>
      <c r="BT44" s="22"/>
      <c r="BU44" s="23"/>
      <c r="BV44" s="22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</row>
    <row r="45" spans="1:99" ht="15" customHeight="1" x14ac:dyDescent="0.2">
      <c r="A45" s="4" t="str">
        <f>INDEX([1]AEP!$B$2:$B$113,MATCH($B45,[1]AEP!$C$2:$C$113,0),1)</f>
        <v>CS #2: maize - wheat - maize - barley</v>
      </c>
      <c r="B45" s="3" t="s">
        <v>46</v>
      </c>
      <c r="C45" s="3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6">
        <v>0.25</v>
      </c>
      <c r="AQ45" s="16">
        <v>0.25</v>
      </c>
      <c r="AR45" s="16">
        <v>0</v>
      </c>
      <c r="AS45" s="16">
        <v>0</v>
      </c>
      <c r="AT45" s="16">
        <v>0</v>
      </c>
      <c r="AU45" s="17"/>
      <c r="AV45" s="16">
        <v>0</v>
      </c>
      <c r="AW45" s="16">
        <v>0.5</v>
      </c>
      <c r="AX45" s="16">
        <v>0</v>
      </c>
      <c r="AY45" s="16">
        <v>0</v>
      </c>
      <c r="AZ45" s="16">
        <v>0</v>
      </c>
      <c r="BA45" s="17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</row>
    <row r="46" spans="1:99" ht="15" customHeight="1" x14ac:dyDescent="0.2">
      <c r="A46" s="4" t="str">
        <f>INDEX([1]AEP!$B$2:$B$113,MATCH($B46,[1]AEP!$C$2:$C$113,0),1)</f>
        <v>CS #2: alfalfa (3 years) - maize - wheat</v>
      </c>
      <c r="B46" s="3" t="s">
        <v>47</v>
      </c>
      <c r="C46" s="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6">
        <v>0.2</v>
      </c>
      <c r="AQ46" s="16">
        <v>0</v>
      </c>
      <c r="AR46" s="16">
        <v>0</v>
      </c>
      <c r="AS46" s="16">
        <v>0</v>
      </c>
      <c r="AT46" s="16">
        <v>0</v>
      </c>
      <c r="AU46" s="17"/>
      <c r="AV46" s="16">
        <v>0</v>
      </c>
      <c r="AW46" s="16">
        <v>0.2</v>
      </c>
      <c r="AX46" s="16">
        <v>0.6</v>
      </c>
      <c r="AY46" s="16">
        <v>0</v>
      </c>
      <c r="AZ46" s="16">
        <v>0</v>
      </c>
      <c r="BA46" s="17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2"/>
      <c r="BN46" s="22"/>
      <c r="BO46" s="22"/>
      <c r="BP46" s="22"/>
      <c r="BQ46" s="22"/>
      <c r="BR46" s="23"/>
      <c r="BS46" s="23"/>
      <c r="BT46" s="22">
        <v>30</v>
      </c>
      <c r="BU46" s="23"/>
      <c r="BV46" s="22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7" spans="1:99" ht="15" customHeight="1" x14ac:dyDescent="0.2">
      <c r="A47" s="4" t="str">
        <f>INDEX([1]AEP!$B$2:$B$113,MATCH($B47,[1]AEP!$C$2:$C$113,0),1)</f>
        <v>CS #2: faba bean - wheat - rapeseed - maize</v>
      </c>
      <c r="B47" s="3" t="s">
        <v>48</v>
      </c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6">
        <v>0.25</v>
      </c>
      <c r="AQ47" s="16">
        <v>0</v>
      </c>
      <c r="AR47" s="16">
        <v>0</v>
      </c>
      <c r="AS47" s="16">
        <v>0</v>
      </c>
      <c r="AT47" s="16">
        <v>0.25</v>
      </c>
      <c r="AU47" s="17"/>
      <c r="AV47" s="16">
        <v>0.25</v>
      </c>
      <c r="AW47" s="16">
        <v>0.25</v>
      </c>
      <c r="AX47" s="16">
        <v>0</v>
      </c>
      <c r="AY47" s="16">
        <v>0</v>
      </c>
      <c r="AZ47" s="16">
        <v>0</v>
      </c>
      <c r="BA47" s="17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2">
        <v>20</v>
      </c>
      <c r="BN47" s="22"/>
      <c r="BO47" s="22"/>
      <c r="BP47" s="22"/>
      <c r="BQ47" s="22"/>
      <c r="BR47" s="23"/>
      <c r="BS47" s="23"/>
      <c r="BT47" s="22">
        <v>20</v>
      </c>
      <c r="BU47" s="23"/>
      <c r="BV47" s="22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</row>
    <row r="48" spans="1:99" ht="15" customHeight="1" x14ac:dyDescent="0.2">
      <c r="A48" s="4" t="str">
        <f>INDEX([1]AEP!$B$2:$B$113,MATCH($B48,[1]AEP!$C$2:$C$113,0),1)</f>
        <v>CS #2: grassland (4 years) - maize - maize</v>
      </c>
      <c r="B48" s="3" t="s">
        <v>49</v>
      </c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7"/>
      <c r="AV48" s="16">
        <v>0</v>
      </c>
      <c r="AW48" s="16">
        <f>2/6</f>
        <v>0.33333333333333331</v>
      </c>
      <c r="AX48" s="16">
        <v>0</v>
      </c>
      <c r="AY48" s="16">
        <v>0</v>
      </c>
      <c r="AZ48" s="16">
        <f>4/6</f>
        <v>0.66666666666666663</v>
      </c>
      <c r="BA48" s="17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2"/>
      <c r="BN48" s="22"/>
      <c r="BO48" s="22"/>
      <c r="BP48" s="22"/>
      <c r="BQ48" s="22"/>
      <c r="BR48" s="23"/>
      <c r="BS48" s="23"/>
      <c r="BT48" s="22">
        <f>(110+30)/2</f>
        <v>70</v>
      </c>
      <c r="BU48" s="23"/>
      <c r="BV48" s="22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</row>
    <row r="49" spans="1:99" ht="15" customHeight="1" x14ac:dyDescent="0.2">
      <c r="A49" s="4" t="str">
        <f>INDEX([1]AEP!$B$2:$B$113,MATCH($B49,[1]AEP!$C$2:$C$113,0),1)</f>
        <v>CS #2: grassland (3 years) - maize - wheat - barley</v>
      </c>
      <c r="B49" s="3" t="s">
        <v>50</v>
      </c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6">
        <f>1/6</f>
        <v>0.16666666666666666</v>
      </c>
      <c r="AQ49" s="16">
        <f>1/6</f>
        <v>0.16666666666666666</v>
      </c>
      <c r="AR49" s="16">
        <v>0</v>
      </c>
      <c r="AS49" s="16">
        <v>0</v>
      </c>
      <c r="AT49" s="16">
        <v>0</v>
      </c>
      <c r="AU49" s="17"/>
      <c r="AV49" s="16">
        <v>0</v>
      </c>
      <c r="AW49" s="16">
        <f>1/6</f>
        <v>0.16666666666666666</v>
      </c>
      <c r="AX49" s="16">
        <v>0</v>
      </c>
      <c r="AY49" s="16">
        <v>0</v>
      </c>
      <c r="AZ49" s="16">
        <f>3/6</f>
        <v>0.5</v>
      </c>
      <c r="BA49" s="17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2"/>
      <c r="BN49" s="22"/>
      <c r="BO49" s="22"/>
      <c r="BP49" s="22"/>
      <c r="BQ49" s="22"/>
      <c r="BR49" s="23"/>
      <c r="BS49" s="23"/>
      <c r="BT49" s="22">
        <v>70</v>
      </c>
      <c r="BU49" s="23"/>
      <c r="BV49" s="22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0" spans="1:99" ht="15" customHeight="1" x14ac:dyDescent="0.2">
      <c r="A50" s="4" t="str">
        <f>INDEX([1]AEP!$B$2:$B$113,MATCH($B50,[1]AEP!$C$2:$C$113,0),1)</f>
        <v>CS #2: faba bean - wheat - maize - alfalfa (3 years) - barley - maize</v>
      </c>
      <c r="B50" s="3" t="s">
        <v>51</v>
      </c>
      <c r="C50" s="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6">
        <f>1/8</f>
        <v>0.125</v>
      </c>
      <c r="AQ50" s="16">
        <f>1/8</f>
        <v>0.125</v>
      </c>
      <c r="AR50" s="16">
        <v>0</v>
      </c>
      <c r="AS50" s="16">
        <v>0</v>
      </c>
      <c r="AT50" s="16">
        <v>0</v>
      </c>
      <c r="AU50" s="17"/>
      <c r="AV50" s="16">
        <f>1/8</f>
        <v>0.125</v>
      </c>
      <c r="AW50" s="16">
        <f>2/8</f>
        <v>0.25</v>
      </c>
      <c r="AX50" s="16">
        <f>3/8</f>
        <v>0.375</v>
      </c>
      <c r="AY50" s="16">
        <v>0</v>
      </c>
      <c r="AZ50" s="16">
        <v>0</v>
      </c>
      <c r="BA50" s="17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2">
        <v>20</v>
      </c>
      <c r="BN50" s="22">
        <v>30</v>
      </c>
      <c r="BO50" s="22"/>
      <c r="BP50" s="22"/>
      <c r="BQ50" s="22"/>
      <c r="BR50" s="23"/>
      <c r="BS50" s="23"/>
      <c r="BT50" s="22"/>
      <c r="BU50" s="23"/>
      <c r="BV50" s="22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</row>
    <row r="51" spans="1:99" ht="15" customHeight="1" x14ac:dyDescent="0.2">
      <c r="A51" s="6" t="str">
        <f>INDEX([1]AEP!$B$2:$B$113,MATCH($B51,[1]AEP!$C$2:$C$113,0),1)</f>
        <v>CS #2: grassland (3 years) - maize - wheat - faba bean - rapeseed</v>
      </c>
      <c r="B51" s="10" t="s">
        <v>52</v>
      </c>
      <c r="C51" s="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6">
        <f>1/7</f>
        <v>0.14285714285714285</v>
      </c>
      <c r="AQ51" s="16">
        <v>0</v>
      </c>
      <c r="AR51" s="16">
        <v>0</v>
      </c>
      <c r="AS51" s="16">
        <v>0</v>
      </c>
      <c r="AT51" s="16">
        <f>1/7</f>
        <v>0.14285714285714285</v>
      </c>
      <c r="AU51" s="17"/>
      <c r="AV51" s="16">
        <f>1/7</f>
        <v>0.14285714285714285</v>
      </c>
      <c r="AW51" s="16">
        <f>1/7</f>
        <v>0.14285714285714285</v>
      </c>
      <c r="AX51" s="16">
        <v>0</v>
      </c>
      <c r="AY51" s="16">
        <v>0</v>
      </c>
      <c r="AZ51" s="16">
        <f>3/7</f>
        <v>0.42857142857142855</v>
      </c>
      <c r="BA51" s="17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2"/>
      <c r="BN51" s="22"/>
      <c r="BO51" s="22"/>
      <c r="BP51" s="22"/>
      <c r="BQ51" s="22">
        <v>20</v>
      </c>
      <c r="BR51" s="23"/>
      <c r="BS51" s="23"/>
      <c r="BT51" s="22">
        <v>70</v>
      </c>
      <c r="BU51" s="23"/>
      <c r="BV51" s="22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</row>
    <row r="52" spans="1:99" ht="15" customHeight="1" x14ac:dyDescent="0.2">
      <c r="A52" s="8" t="str">
        <f>INDEX([1]AEP!$B$2:$B$113,MATCH($B52,[1]AEP!$C$2:$C$113,0),1)</f>
        <v>No particular green infrastructure elements</v>
      </c>
      <c r="B52" s="8" t="s">
        <v>53</v>
      </c>
      <c r="C52" s="3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</row>
    <row r="53" spans="1:99" ht="15" customHeight="1" x14ac:dyDescent="0.2">
      <c r="A53" s="4" t="str">
        <f>INDEX([1]AEP!$B$2:$B$113,MATCH($B53,[1]AEP!$C$2:$C$113,0),1)</f>
        <v>Sown field margins as green infrastructures: wildflowers strip</v>
      </c>
      <c r="B53" s="3" t="s">
        <v>54</v>
      </c>
      <c r="C53" s="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6">
        <v>0.95</v>
      </c>
      <c r="AF53" s="16">
        <v>0.95</v>
      </c>
      <c r="AG53" s="16">
        <v>0.95</v>
      </c>
      <c r="AH53" s="16">
        <v>0.95</v>
      </c>
      <c r="AI53" s="16">
        <v>0.95</v>
      </c>
      <c r="AJ53" s="17"/>
      <c r="AK53" s="17">
        <v>0.95</v>
      </c>
      <c r="AL53" s="17">
        <v>0.95</v>
      </c>
      <c r="AM53" s="17">
        <v>0.95</v>
      </c>
      <c r="AN53" s="17">
        <v>0.95</v>
      </c>
      <c r="AO53" s="17">
        <v>0.95</v>
      </c>
      <c r="AP53" s="17">
        <v>0.95</v>
      </c>
      <c r="AQ53" s="17">
        <v>0.95</v>
      </c>
      <c r="AR53" s="17">
        <v>0.95</v>
      </c>
      <c r="AS53" s="17">
        <v>0.95</v>
      </c>
      <c r="AT53" s="17">
        <v>0.95</v>
      </c>
      <c r="AU53" s="17"/>
      <c r="AV53" s="17">
        <v>0.95</v>
      </c>
      <c r="AW53" s="17">
        <v>0.95</v>
      </c>
      <c r="AX53" s="17">
        <v>0.95</v>
      </c>
      <c r="AY53" s="17">
        <v>0.95</v>
      </c>
      <c r="AZ53" s="17">
        <v>0.95</v>
      </c>
      <c r="BA53" s="17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</row>
    <row r="54" spans="1:99" ht="15" customHeight="1" x14ac:dyDescent="0.2">
      <c r="A54" s="4" t="str">
        <f>INDEX([1]AEP!$B$2:$B$113,MATCH($B54,[1]AEP!$C$2:$C$113,0),1)</f>
        <v>Sown field margins as green infrastructures: beetle bank (for birds and polyphagous predator)</v>
      </c>
      <c r="B54" s="3" t="s">
        <v>55</v>
      </c>
      <c r="C54" s="3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6">
        <v>0.95</v>
      </c>
      <c r="AF54" s="16">
        <v>0.95</v>
      </c>
      <c r="AG54" s="16">
        <v>0.95</v>
      </c>
      <c r="AH54" s="16">
        <v>0.95</v>
      </c>
      <c r="AI54" s="16">
        <v>0.95</v>
      </c>
      <c r="AJ54" s="17"/>
      <c r="AK54" s="17">
        <v>0.95</v>
      </c>
      <c r="AL54" s="17">
        <v>0.95</v>
      </c>
      <c r="AM54" s="17">
        <v>0.95</v>
      </c>
      <c r="AN54" s="17">
        <v>0.95</v>
      </c>
      <c r="AO54" s="17">
        <v>0.95</v>
      </c>
      <c r="AP54" s="17">
        <v>0.95</v>
      </c>
      <c r="AQ54" s="17">
        <v>0.95</v>
      </c>
      <c r="AR54" s="17">
        <v>0.95</v>
      </c>
      <c r="AS54" s="17">
        <v>0.95</v>
      </c>
      <c r="AT54" s="17">
        <v>0.95</v>
      </c>
      <c r="AU54" s="17"/>
      <c r="AV54" s="17">
        <v>0.95</v>
      </c>
      <c r="AW54" s="17">
        <v>0.95</v>
      </c>
      <c r="AX54" s="17">
        <v>0.95</v>
      </c>
      <c r="AY54" s="17">
        <v>0.95</v>
      </c>
      <c r="AZ54" s="17">
        <v>0.95</v>
      </c>
      <c r="BA54" s="17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</row>
    <row r="55" spans="1:99" ht="15" customHeight="1" x14ac:dyDescent="0.2">
      <c r="A55" s="4" t="str">
        <f>INDEX([1]AEP!$B$2:$B$113,MATCH($B55,[1]AEP!$C$2:$C$113,0),1)</f>
        <v>Semi-natural field margins as green infrastructures: hedgerows </v>
      </c>
      <c r="B55" s="3" t="s">
        <v>56</v>
      </c>
      <c r="C55" s="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6">
        <v>0.95</v>
      </c>
      <c r="AF55" s="16">
        <v>0.95</v>
      </c>
      <c r="AG55" s="16">
        <v>0.95</v>
      </c>
      <c r="AH55" s="16">
        <v>0.95</v>
      </c>
      <c r="AI55" s="16">
        <v>0.95</v>
      </c>
      <c r="AJ55" s="17"/>
      <c r="AK55" s="17">
        <v>0.95</v>
      </c>
      <c r="AL55" s="17">
        <v>0.95</v>
      </c>
      <c r="AM55" s="17">
        <v>0.95</v>
      </c>
      <c r="AN55" s="17">
        <v>0.95</v>
      </c>
      <c r="AO55" s="17">
        <v>0.95</v>
      </c>
      <c r="AP55" s="17">
        <v>0.95</v>
      </c>
      <c r="AQ55" s="17">
        <v>0.95</v>
      </c>
      <c r="AR55" s="17">
        <v>0.95</v>
      </c>
      <c r="AS55" s="17">
        <v>0.95</v>
      </c>
      <c r="AT55" s="17">
        <v>0.95</v>
      </c>
      <c r="AU55" s="17"/>
      <c r="AV55" s="17">
        <v>0.95</v>
      </c>
      <c r="AW55" s="17">
        <v>0.95</v>
      </c>
      <c r="AX55" s="17">
        <v>0.95</v>
      </c>
      <c r="AY55" s="17">
        <v>0.95</v>
      </c>
      <c r="AZ55" s="17">
        <v>0.95</v>
      </c>
      <c r="BA55" s="17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</row>
    <row r="56" spans="1:99" ht="15" customHeight="1" x14ac:dyDescent="0.2">
      <c r="A56" s="6" t="str">
        <f>INDEX([1]AEP!$B$2:$B$113,MATCH($B56,[1]AEP!$C$2:$C$113,0),1)</f>
        <v>Semi-natural field margins as green infrastructures: grass margins</v>
      </c>
      <c r="B56" s="10" t="s">
        <v>57</v>
      </c>
      <c r="C56" s="3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6">
        <v>0.95</v>
      </c>
      <c r="AF56" s="16">
        <v>0.95</v>
      </c>
      <c r="AG56" s="16">
        <v>0.95</v>
      </c>
      <c r="AH56" s="16">
        <v>0.95</v>
      </c>
      <c r="AI56" s="16">
        <v>0.95</v>
      </c>
      <c r="AJ56" s="17"/>
      <c r="AK56" s="17">
        <v>0.95</v>
      </c>
      <c r="AL56" s="17">
        <v>0.95</v>
      </c>
      <c r="AM56" s="17">
        <v>0.95</v>
      </c>
      <c r="AN56" s="17">
        <v>0.95</v>
      </c>
      <c r="AO56" s="17">
        <v>0.95</v>
      </c>
      <c r="AP56" s="17">
        <v>0.95</v>
      </c>
      <c r="AQ56" s="17">
        <v>0.95</v>
      </c>
      <c r="AR56" s="17">
        <v>0.95</v>
      </c>
      <c r="AS56" s="17">
        <v>0.95</v>
      </c>
      <c r="AT56" s="17">
        <v>0.95</v>
      </c>
      <c r="AU56" s="17"/>
      <c r="AV56" s="17">
        <v>0.95</v>
      </c>
      <c r="AW56" s="17">
        <v>0.95</v>
      </c>
      <c r="AX56" s="17">
        <v>0.95</v>
      </c>
      <c r="AY56" s="17">
        <v>0.95</v>
      </c>
      <c r="AZ56" s="17">
        <v>0.95</v>
      </c>
      <c r="BA56" s="17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</row>
    <row r="57" spans="1:99" ht="15" customHeight="1" x14ac:dyDescent="0.2">
      <c r="A57" s="8" t="str">
        <f>INDEX([1]AEP!$B$2:$B$113,MATCH($B57,[1]AEP!$C$2:$C$113,0),1)</f>
        <v>No agroforestry</v>
      </c>
      <c r="B57" s="3" t="s">
        <v>220</v>
      </c>
      <c r="C57" s="3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7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7"/>
      <c r="AV57" s="16"/>
      <c r="AW57" s="16"/>
      <c r="AX57" s="16"/>
      <c r="AY57" s="16"/>
      <c r="AZ57" s="16"/>
      <c r="BA57" s="17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</row>
    <row r="58" spans="1:99" ht="15" customHeight="1" x14ac:dyDescent="0.2">
      <c r="A58" s="6" t="str">
        <f>INDEX([1]AEP!$B$2:$B$113,MATCH($B58,[1]AEP!$C$2:$C$113,0),1)</f>
        <v>In-field agroforestry</v>
      </c>
      <c r="B58" s="10" t="s">
        <v>221</v>
      </c>
      <c r="C58" s="3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>
        <v>0.84</v>
      </c>
      <c r="AF58" s="16">
        <v>0.84</v>
      </c>
      <c r="AG58" s="16">
        <v>0.84</v>
      </c>
      <c r="AH58" s="16">
        <v>0.84</v>
      </c>
      <c r="AI58" s="16">
        <v>0.84</v>
      </c>
      <c r="AJ58" s="17"/>
      <c r="AK58" s="16">
        <v>0.84</v>
      </c>
      <c r="AL58" s="16">
        <v>0.84</v>
      </c>
      <c r="AM58" s="16">
        <v>0.84</v>
      </c>
      <c r="AN58" s="16">
        <v>0.84</v>
      </c>
      <c r="AO58" s="16">
        <v>0.84</v>
      </c>
      <c r="AP58" s="16">
        <v>0.84</v>
      </c>
      <c r="AQ58" s="16">
        <v>0.84</v>
      </c>
      <c r="AR58" s="16">
        <v>0.84</v>
      </c>
      <c r="AS58" s="16">
        <v>0.84</v>
      </c>
      <c r="AT58" s="16">
        <v>0.84</v>
      </c>
      <c r="AU58" s="17"/>
      <c r="AV58" s="17">
        <v>0.84</v>
      </c>
      <c r="AW58" s="17">
        <v>0.84</v>
      </c>
      <c r="AX58" s="17">
        <v>0.84</v>
      </c>
      <c r="AY58" s="17">
        <v>0.84</v>
      </c>
      <c r="AZ58" s="17">
        <v>0.84</v>
      </c>
      <c r="BA58" s="17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</row>
    <row r="59" spans="1:99" s="2" customFormat="1" ht="15" customHeight="1" x14ac:dyDescent="0.2">
      <c r="A59" s="8" t="str">
        <f>INDEX([1]AEP!$B$2:$B$113,MATCH($B59,[1]AEP!$C$2:$C$113,0),1)</f>
        <v>Balanced strategy between farmer income and investment</v>
      </c>
      <c r="B59" s="2" t="s">
        <v>58</v>
      </c>
      <c r="C59" s="3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</row>
    <row r="60" spans="1:99" s="2" customFormat="1" ht="15" customHeight="1" x14ac:dyDescent="0.2">
      <c r="A60" s="4" t="str">
        <f>INDEX([1]AEP!$B$2:$B$113,MATCH($B60,[1]AEP!$C$2:$C$113,0),1)</f>
        <v>Investment-oriented strategy</v>
      </c>
      <c r="B60" s="2" t="s">
        <v>59</v>
      </c>
      <c r="C60" s="3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</row>
    <row r="61" spans="1:99" s="2" customFormat="1" ht="15" customHeight="1" x14ac:dyDescent="0.2">
      <c r="A61" s="6" t="str">
        <f>INDEX([1]AEP!$B$2:$B$113,MATCH($B61,[1]AEP!$C$2:$C$113,0),1)</f>
        <v>Income-oriented strategy</v>
      </c>
      <c r="B61" s="10" t="s">
        <v>60</v>
      </c>
      <c r="C61" s="3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</row>
    <row r="62" spans="1:99" ht="15" customHeight="1" x14ac:dyDescent="0.2">
      <c r="A62" s="8" t="str">
        <f>INDEX([1]AEP!$B$2:$B$113,MATCH($B62,[1]AEP!$C$2:$C$113,0),1)</f>
        <v>Conventional farming</v>
      </c>
      <c r="B62" s="3" t="s">
        <v>61</v>
      </c>
      <c r="C62" s="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</row>
    <row r="63" spans="1:99" ht="15" customHeight="1" x14ac:dyDescent="0.2">
      <c r="A63" s="6" t="str">
        <f>INDEX([1]AEP!$B$2:$B$113,MATCH($B63,[1]AEP!$C$2:$C$113,0),1)</f>
        <v>Organic farming</v>
      </c>
      <c r="B63" s="3" t="s">
        <v>62</v>
      </c>
      <c r="C63" s="3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</row>
    <row r="64" spans="1:99" ht="15" customHeight="1" x14ac:dyDescent="0.2">
      <c r="A64" s="8" t="str">
        <f>INDEX([1]AEP!$B$2:$B$113,MATCH($B64,[1]AEP!$C$2:$C$113,0),1)</f>
        <v>Cattle breed is Holstein</v>
      </c>
      <c r="B64" s="7" t="s">
        <v>63</v>
      </c>
      <c r="C64" s="3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</row>
    <row r="65" spans="1:99" ht="15" customHeight="1" x14ac:dyDescent="0.2">
      <c r="A65" s="4" t="str">
        <f>INDEX([1]AEP!$B$2:$B$113,MATCH($B65,[1]AEP!$C$2:$C$113,0),1)</f>
        <v>Cattle breed is Siemmental</v>
      </c>
      <c r="B65" s="4" t="s">
        <v>64</v>
      </c>
      <c r="C65" s="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</row>
    <row r="66" spans="1:99" ht="15" customHeight="1" x14ac:dyDescent="0.2">
      <c r="A66" s="6" t="str">
        <f>INDEX([1]AEP!$B$2:$B$113,MATCH($B66,[1]AEP!$C$2:$C$113,0),1)</f>
        <v>Cattle breed is Montbéliarde</v>
      </c>
      <c r="B66" s="6" t="s">
        <v>65</v>
      </c>
      <c r="C66" s="3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</row>
    <row r="67" spans="1:99" ht="15" customHeight="1" x14ac:dyDescent="0.2">
      <c r="A67" s="8" t="str">
        <f>INDEX([1]AEP!$B$2:$B$113,MATCH($B67,[1]AEP!$C$2:$C$113,0),1)</f>
        <v>Initial herd size</v>
      </c>
      <c r="B67" s="1" t="s">
        <v>66</v>
      </c>
      <c r="C67" s="3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</row>
    <row r="68" spans="1:99" ht="15" customHeight="1" x14ac:dyDescent="0.2">
      <c r="A68" s="4" t="str">
        <f>INDEX([1]AEP!$B$2:$B$113,MATCH($B68,[1]AEP!$C$2:$C$113,0),1)</f>
        <v>15% increase of initial herd size (no building modification)</v>
      </c>
      <c r="B68" s="1" t="s">
        <v>67</v>
      </c>
      <c r="C68" s="3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</row>
    <row r="69" spans="1:99" ht="15" customHeight="1" x14ac:dyDescent="0.2">
      <c r="A69" s="4" t="str">
        <f>INDEX([1]AEP!$B$2:$B$113,MATCH($B69,[1]AEP!$C$2:$C$113,0),1)</f>
        <v>15% increase of initial herd size (building modification)</v>
      </c>
      <c r="B69" s="1" t="s">
        <v>68</v>
      </c>
      <c r="C69" s="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</row>
    <row r="70" spans="1:99" ht="15" customHeight="1" x14ac:dyDescent="0.2">
      <c r="A70" s="4" t="str">
        <f>INDEX([1]AEP!$B$2:$B$113,MATCH($B70,[1]AEP!$C$2:$C$113,0),1)</f>
        <v>30% increase of initial herd size (building modification)</v>
      </c>
      <c r="B70" s="1" t="s">
        <v>69</v>
      </c>
      <c r="C70" s="3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</row>
    <row r="71" spans="1:99" ht="15" customHeight="1" x14ac:dyDescent="0.2">
      <c r="A71" s="4" t="str">
        <f>INDEX([1]AEP!$B$2:$B$113,MATCH($B71,[1]AEP!$C$2:$C$113,0),1)</f>
        <v>15% decrease of initial herd size</v>
      </c>
      <c r="B71" s="4" t="s">
        <v>70</v>
      </c>
      <c r="C71" s="3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</row>
    <row r="72" spans="1:99" ht="15" customHeight="1" x14ac:dyDescent="0.2">
      <c r="A72" s="6" t="str">
        <f>INDEX([1]AEP!$B$2:$B$113,MATCH($B72,[1]AEP!$C$2:$C$113,0),1)</f>
        <v>30% decrease of initial herd size</v>
      </c>
      <c r="B72" s="6" t="s">
        <v>679</v>
      </c>
      <c r="C72" s="3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</row>
    <row r="73" spans="1:99" ht="15" customHeight="1" x14ac:dyDescent="0.2">
      <c r="A73" s="3" t="str">
        <f>INDEX([1]AEP!$B$2:$B$113,MATCH($B73,[1]AEP!$C$2:$C$113,0),1)</f>
        <v>Bulls fattened up to 18 months</v>
      </c>
      <c r="B73" s="4" t="s">
        <v>71</v>
      </c>
      <c r="C73" s="3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</row>
    <row r="74" spans="1:99" ht="15" customHeight="1" x14ac:dyDescent="0.2">
      <c r="A74" s="4" t="str">
        <f>INDEX([1]AEP!$B$2:$B$113,MATCH($B74,[1]AEP!$C$2:$C$113,0),1)</f>
        <v>Castrated males fattened up to 36 months (steer)</v>
      </c>
      <c r="B74" s="1" t="s">
        <v>72</v>
      </c>
      <c r="C74" s="3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</row>
    <row r="75" spans="1:99" ht="15" customHeight="1" x14ac:dyDescent="0.2">
      <c r="A75" s="6" t="str">
        <f>INDEX([1]AEP!$B$2:$B$113,MATCH($B75,[1]AEP!$C$2:$C$113,0),1)</f>
        <v>Male calves sold at 8 days</v>
      </c>
      <c r="B75" s="6" t="s">
        <v>73</v>
      </c>
      <c r="C75" s="3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</row>
    <row r="76" spans="1:99" ht="15" customHeight="1" x14ac:dyDescent="0.2">
      <c r="A76" s="8" t="str">
        <f>INDEX([1]AEP!$B$2:$B$113,MATCH($B76,[1]AEP!$C$2:$C$113,0),1)</f>
        <v>Cows are tied on straw bedding</v>
      </c>
      <c r="B76" s="1" t="s">
        <v>74</v>
      </c>
      <c r="C76" s="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22">
        <f>50/2</f>
        <v>25</v>
      </c>
      <c r="BC76" s="22">
        <f>30/2</f>
        <v>15</v>
      </c>
      <c r="BD76" s="22">
        <f>70/0.7/2</f>
        <v>50</v>
      </c>
      <c r="BE76" s="22">
        <f>70/2</f>
        <v>35</v>
      </c>
      <c r="BF76" s="22">
        <f>40/2</f>
        <v>20</v>
      </c>
      <c r="BG76" s="23"/>
      <c r="BH76" s="23"/>
      <c r="BI76" s="22">
        <f>70/2</f>
        <v>35</v>
      </c>
      <c r="BJ76" s="23"/>
      <c r="BK76" s="22">
        <f>70/2</f>
        <v>35</v>
      </c>
      <c r="BL76" s="22">
        <f>83/2</f>
        <v>41.5</v>
      </c>
      <c r="BM76" s="22">
        <f>50/2</f>
        <v>25</v>
      </c>
      <c r="BN76" s="22">
        <f>30/2</f>
        <v>15</v>
      </c>
      <c r="BO76" s="22">
        <f>70/0.7/2</f>
        <v>50</v>
      </c>
      <c r="BP76" s="22">
        <f>70/2</f>
        <v>35</v>
      </c>
      <c r="BQ76" s="22">
        <f>40/2</f>
        <v>20</v>
      </c>
      <c r="BR76" s="23"/>
      <c r="BS76" s="23"/>
      <c r="BT76" s="22">
        <f>70/2</f>
        <v>35</v>
      </c>
      <c r="BU76" s="23"/>
      <c r="BV76" s="22">
        <f>70/2</f>
        <v>35</v>
      </c>
      <c r="BW76" s="22">
        <f>83/2</f>
        <v>41.5</v>
      </c>
      <c r="BX76" s="22">
        <f>50/2</f>
        <v>25</v>
      </c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</row>
    <row r="77" spans="1:99" ht="15" customHeight="1" x14ac:dyDescent="0.2">
      <c r="A77" s="4" t="str">
        <f>INDEX([1]AEP!$B$2:$B$113,MATCH($B77,[1]AEP!$C$2:$C$113,0),1)</f>
        <v>Housing of cows is cubicles with straw (shallow bedding)</v>
      </c>
      <c r="B77" s="1" t="s">
        <v>75</v>
      </c>
      <c r="C77" s="3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22">
        <f>50/2</f>
        <v>25</v>
      </c>
      <c r="BC77" s="22">
        <f>30/2</f>
        <v>15</v>
      </c>
      <c r="BD77" s="22">
        <f>70/0.7/2</f>
        <v>50</v>
      </c>
      <c r="BE77" s="22">
        <f>70/2</f>
        <v>35</v>
      </c>
      <c r="BF77" s="22">
        <f>40/2</f>
        <v>20</v>
      </c>
      <c r="BG77" s="23"/>
      <c r="BH77" s="23"/>
      <c r="BI77" s="22">
        <f>70/2</f>
        <v>35</v>
      </c>
      <c r="BJ77" s="23"/>
      <c r="BK77" s="22">
        <f>70/2</f>
        <v>35</v>
      </c>
      <c r="BL77" s="22">
        <f>83/2</f>
        <v>41.5</v>
      </c>
      <c r="BM77" s="22">
        <f>50/2</f>
        <v>25</v>
      </c>
      <c r="BN77" s="22">
        <f>30/2</f>
        <v>15</v>
      </c>
      <c r="BO77" s="22">
        <f>70/0.7/2</f>
        <v>50</v>
      </c>
      <c r="BP77" s="22">
        <f>70/2</f>
        <v>35</v>
      </c>
      <c r="BQ77" s="22">
        <f>40/2</f>
        <v>20</v>
      </c>
      <c r="BR77" s="23"/>
      <c r="BS77" s="23"/>
      <c r="BT77" s="22">
        <f>70/2</f>
        <v>35</v>
      </c>
      <c r="BU77" s="23"/>
      <c r="BV77" s="22">
        <f>70/2</f>
        <v>35</v>
      </c>
      <c r="BW77" s="22">
        <f>83/2</f>
        <v>41.5</v>
      </c>
      <c r="BX77" s="22">
        <f>50/2</f>
        <v>25</v>
      </c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</row>
    <row r="78" spans="1:99" ht="15" customHeight="1" x14ac:dyDescent="0.2">
      <c r="A78" s="4" t="str">
        <f>INDEX([1]AEP!$B$2:$B$113,MATCH($B78,[1]AEP!$C$2:$C$113,0),1)</f>
        <v>Housing of cows is cubicles with slatted floor</v>
      </c>
      <c r="B78" s="1" t="s">
        <v>76</v>
      </c>
      <c r="C78" s="3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22">
        <f>25/2</f>
        <v>12.5</v>
      </c>
      <c r="BC78" s="22">
        <f>15/2</f>
        <v>7.5</v>
      </c>
      <c r="BD78" s="22">
        <f>35/0.7/2</f>
        <v>25</v>
      </c>
      <c r="BE78" s="22">
        <f>35/2</f>
        <v>17.5</v>
      </c>
      <c r="BF78" s="22">
        <f>20/2</f>
        <v>10</v>
      </c>
      <c r="BG78" s="23"/>
      <c r="BH78" s="23"/>
      <c r="BI78" s="22">
        <f>35/2</f>
        <v>17.5</v>
      </c>
      <c r="BJ78" s="23"/>
      <c r="BK78" s="22">
        <f>35/2</f>
        <v>17.5</v>
      </c>
      <c r="BL78" s="22">
        <f>60/2</f>
        <v>30</v>
      </c>
      <c r="BM78" s="22">
        <f>25/2</f>
        <v>12.5</v>
      </c>
      <c r="BN78" s="22">
        <f>15/2</f>
        <v>7.5</v>
      </c>
      <c r="BO78" s="22">
        <f>35/0.7/2</f>
        <v>25</v>
      </c>
      <c r="BP78" s="22">
        <f>35/2</f>
        <v>17.5</v>
      </c>
      <c r="BQ78" s="22">
        <f>20/2</f>
        <v>10</v>
      </c>
      <c r="BR78" s="23"/>
      <c r="BS78" s="23"/>
      <c r="BT78" s="22">
        <f>35/2</f>
        <v>17.5</v>
      </c>
      <c r="BU78" s="23"/>
      <c r="BV78" s="22">
        <f>35/2</f>
        <v>17.5</v>
      </c>
      <c r="BW78" s="22">
        <f>60/2</f>
        <v>30</v>
      </c>
      <c r="BX78" s="22">
        <f>36/2</f>
        <v>18</v>
      </c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</row>
    <row r="79" spans="1:99" ht="15" customHeight="1" x14ac:dyDescent="0.2">
      <c r="A79" s="4" t="str">
        <f>INDEX([1]AEP!$B$2:$B$113,MATCH($B79,[1]AEP!$C$2:$C$113,0),1)</f>
        <v>Housing of cows is free-stall (deep bedding)</v>
      </c>
      <c r="B79" s="1" t="s">
        <v>77</v>
      </c>
      <c r="C79" s="3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22">
        <f>50/2</f>
        <v>25</v>
      </c>
      <c r="BC79" s="22">
        <f>30/2</f>
        <v>15</v>
      </c>
      <c r="BD79" s="22">
        <f>70/0.7/2</f>
        <v>50</v>
      </c>
      <c r="BE79" s="22">
        <f>70/2</f>
        <v>35</v>
      </c>
      <c r="BF79" s="22">
        <f>40/2</f>
        <v>20</v>
      </c>
      <c r="BG79" s="23"/>
      <c r="BH79" s="23"/>
      <c r="BI79" s="22">
        <f>70/2</f>
        <v>35</v>
      </c>
      <c r="BJ79" s="23"/>
      <c r="BK79" s="22">
        <f>70/2</f>
        <v>35</v>
      </c>
      <c r="BL79" s="22">
        <f>83/2</f>
        <v>41.5</v>
      </c>
      <c r="BM79" s="22">
        <f>50/2</f>
        <v>25</v>
      </c>
      <c r="BN79" s="22">
        <f>30/2</f>
        <v>15</v>
      </c>
      <c r="BO79" s="22">
        <f>70/0.7/2</f>
        <v>50</v>
      </c>
      <c r="BP79" s="22">
        <f>70/2</f>
        <v>35</v>
      </c>
      <c r="BQ79" s="22">
        <f>40/2</f>
        <v>20</v>
      </c>
      <c r="BR79" s="23"/>
      <c r="BS79" s="23"/>
      <c r="BT79" s="22">
        <f>70/2</f>
        <v>35</v>
      </c>
      <c r="BU79" s="23"/>
      <c r="BV79" s="22">
        <f>70/2</f>
        <v>35</v>
      </c>
      <c r="BW79" s="22">
        <f>83/2</f>
        <v>41.5</v>
      </c>
      <c r="BX79" s="22">
        <f>50/2</f>
        <v>25</v>
      </c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</row>
    <row r="80" spans="1:99" ht="15" customHeight="1" x14ac:dyDescent="0.2">
      <c r="A80" s="6" t="str">
        <f>INDEX([1]AEP!$B$2:$B$113,MATCH($B80,[1]AEP!$C$2:$C$113,0),1)</f>
        <v>Housing of cows is free-stall slatted floor</v>
      </c>
      <c r="B80" s="6" t="s">
        <v>78</v>
      </c>
      <c r="C80" s="3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22">
        <f>25/2</f>
        <v>12.5</v>
      </c>
      <c r="BC80" s="22">
        <f>15/2</f>
        <v>7.5</v>
      </c>
      <c r="BD80" s="22">
        <f t="shared" ref="BD80:BD81" si="18">35/0.7/2</f>
        <v>25</v>
      </c>
      <c r="BE80" s="22">
        <f>35/2</f>
        <v>17.5</v>
      </c>
      <c r="BF80" s="22">
        <f t="shared" ref="BF80:BF81" si="19">20/2</f>
        <v>10</v>
      </c>
      <c r="BG80" s="23"/>
      <c r="BH80" s="23"/>
      <c r="BI80" s="22">
        <f>35/2</f>
        <v>17.5</v>
      </c>
      <c r="BJ80" s="23"/>
      <c r="BK80" s="22">
        <f>35/2</f>
        <v>17.5</v>
      </c>
      <c r="BL80" s="22">
        <f t="shared" ref="BL80:BL81" si="20">60/2</f>
        <v>30</v>
      </c>
      <c r="BM80" s="22">
        <f>25/2</f>
        <v>12.5</v>
      </c>
      <c r="BN80" s="22">
        <f>15/2</f>
        <v>7.5</v>
      </c>
      <c r="BO80" s="22">
        <f t="shared" ref="BO80:BO81" si="21">35/0.7/2</f>
        <v>25</v>
      </c>
      <c r="BP80" s="22">
        <f>35/2</f>
        <v>17.5</v>
      </c>
      <c r="BQ80" s="22">
        <f t="shared" ref="BQ80:BQ81" si="22">20/2</f>
        <v>10</v>
      </c>
      <c r="BR80" s="23"/>
      <c r="BS80" s="23"/>
      <c r="BT80" s="22">
        <f>35/2</f>
        <v>17.5</v>
      </c>
      <c r="BU80" s="23"/>
      <c r="BV80" s="22">
        <f>35/2</f>
        <v>17.5</v>
      </c>
      <c r="BW80" s="22">
        <f t="shared" ref="BW80:BW81" si="23">60/2</f>
        <v>30</v>
      </c>
      <c r="BX80" s="22">
        <f>36/2</f>
        <v>18</v>
      </c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</row>
    <row r="81" spans="1:99" ht="15" customHeight="1" x14ac:dyDescent="0.2">
      <c r="A81" s="8" t="str">
        <f>INDEX([1]AEP!$B$2:$B$113,MATCH($B81,[1]AEP!$C$2:$C$113,0),1)</f>
        <v>Housing of heifer, bulls and steers is slatted floor</v>
      </c>
      <c r="B81" s="1" t="s">
        <v>79</v>
      </c>
      <c r="C81" s="3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22">
        <f>25/2</f>
        <v>12.5</v>
      </c>
      <c r="BC81" s="22">
        <f>15/2</f>
        <v>7.5</v>
      </c>
      <c r="BD81" s="22">
        <f t="shared" si="18"/>
        <v>25</v>
      </c>
      <c r="BE81" s="22">
        <f>35/2</f>
        <v>17.5</v>
      </c>
      <c r="BF81" s="22">
        <f t="shared" si="19"/>
        <v>10</v>
      </c>
      <c r="BG81" s="23"/>
      <c r="BH81" s="23"/>
      <c r="BI81" s="22">
        <f>35/2</f>
        <v>17.5</v>
      </c>
      <c r="BJ81" s="23"/>
      <c r="BK81" s="22">
        <f>35/2</f>
        <v>17.5</v>
      </c>
      <c r="BL81" s="22">
        <f t="shared" si="20"/>
        <v>30</v>
      </c>
      <c r="BM81" s="22">
        <f>25/2</f>
        <v>12.5</v>
      </c>
      <c r="BN81" s="22">
        <f>15/2</f>
        <v>7.5</v>
      </c>
      <c r="BO81" s="22">
        <f t="shared" si="21"/>
        <v>25</v>
      </c>
      <c r="BP81" s="22">
        <f>35/2</f>
        <v>17.5</v>
      </c>
      <c r="BQ81" s="22">
        <f t="shared" si="22"/>
        <v>10</v>
      </c>
      <c r="BR81" s="23"/>
      <c r="BS81" s="23"/>
      <c r="BT81" s="22">
        <f>35/2</f>
        <v>17.5</v>
      </c>
      <c r="BU81" s="23"/>
      <c r="BV81" s="22">
        <f>35/2</f>
        <v>17.5</v>
      </c>
      <c r="BW81" s="22">
        <f t="shared" si="23"/>
        <v>30</v>
      </c>
      <c r="BX81" s="22">
        <f>36/2</f>
        <v>18</v>
      </c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</row>
    <row r="82" spans="1:99" ht="15" customHeight="1" x14ac:dyDescent="0.2">
      <c r="A82" s="4" t="str">
        <f>INDEX([1]AEP!$B$2:$B$113,MATCH($B82,[1]AEP!$C$2:$C$113,0),1)</f>
        <v>Housing of heifer, bulls and steers is shallow bedding</v>
      </c>
      <c r="B82" s="1" t="s">
        <v>80</v>
      </c>
      <c r="C82" s="3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22">
        <f>50/2</f>
        <v>25</v>
      </c>
      <c r="BC82" s="22">
        <f>30/2</f>
        <v>15</v>
      </c>
      <c r="BD82" s="22">
        <f t="shared" ref="BD82:BD83" si="24">70/0.7/2</f>
        <v>50</v>
      </c>
      <c r="BE82" s="22">
        <f>70/2</f>
        <v>35</v>
      </c>
      <c r="BF82" s="22">
        <f t="shared" ref="BF82:BF83" si="25">40/2</f>
        <v>20</v>
      </c>
      <c r="BG82" s="23"/>
      <c r="BH82" s="23"/>
      <c r="BI82" s="22">
        <f>70/2</f>
        <v>35</v>
      </c>
      <c r="BJ82" s="23"/>
      <c r="BK82" s="22">
        <f>70/2</f>
        <v>35</v>
      </c>
      <c r="BL82" s="22">
        <f t="shared" ref="BL82:BL83" si="26">83/2</f>
        <v>41.5</v>
      </c>
      <c r="BM82" s="22">
        <f>50/2</f>
        <v>25</v>
      </c>
      <c r="BN82" s="22">
        <f>30/2</f>
        <v>15</v>
      </c>
      <c r="BO82" s="22">
        <f t="shared" ref="BO82:BO83" si="27">70/0.7/2</f>
        <v>50</v>
      </c>
      <c r="BP82" s="22">
        <f>70/2</f>
        <v>35</v>
      </c>
      <c r="BQ82" s="22">
        <f t="shared" ref="BQ82:BQ83" si="28">40/2</f>
        <v>20</v>
      </c>
      <c r="BR82" s="23"/>
      <c r="BS82" s="23"/>
      <c r="BT82" s="22">
        <f>70/2</f>
        <v>35</v>
      </c>
      <c r="BU82" s="23"/>
      <c r="BV82" s="22">
        <f>70/2</f>
        <v>35</v>
      </c>
      <c r="BW82" s="22">
        <f t="shared" ref="BW82:BW83" si="29">83/2</f>
        <v>41.5</v>
      </c>
      <c r="BX82" s="22">
        <f>50/2</f>
        <v>25</v>
      </c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</row>
    <row r="83" spans="1:99" ht="15" customHeight="1" x14ac:dyDescent="0.2">
      <c r="A83" s="6" t="str">
        <f>INDEX([1]AEP!$B$2:$B$113,MATCH($B83,[1]AEP!$C$2:$C$113,0),1)</f>
        <v>Housing of heifer, bulls and steers is deep bedding</v>
      </c>
      <c r="B83" s="6" t="s">
        <v>81</v>
      </c>
      <c r="C83" s="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22">
        <f>50/2</f>
        <v>25</v>
      </c>
      <c r="BC83" s="22">
        <f>30/2</f>
        <v>15</v>
      </c>
      <c r="BD83" s="22">
        <f t="shared" si="24"/>
        <v>50</v>
      </c>
      <c r="BE83" s="22">
        <f>70/2</f>
        <v>35</v>
      </c>
      <c r="BF83" s="22">
        <f t="shared" si="25"/>
        <v>20</v>
      </c>
      <c r="BG83" s="23"/>
      <c r="BH83" s="23"/>
      <c r="BI83" s="22">
        <f>70/2</f>
        <v>35</v>
      </c>
      <c r="BJ83" s="23"/>
      <c r="BK83" s="22">
        <f>70/2</f>
        <v>35</v>
      </c>
      <c r="BL83" s="22">
        <f t="shared" si="26"/>
        <v>41.5</v>
      </c>
      <c r="BM83" s="22">
        <f>50/2</f>
        <v>25</v>
      </c>
      <c r="BN83" s="22">
        <f>30/2</f>
        <v>15</v>
      </c>
      <c r="BO83" s="22">
        <f t="shared" si="27"/>
        <v>50</v>
      </c>
      <c r="BP83" s="22">
        <f>70/2</f>
        <v>35</v>
      </c>
      <c r="BQ83" s="22">
        <f t="shared" si="28"/>
        <v>20</v>
      </c>
      <c r="BR83" s="23"/>
      <c r="BS83" s="23"/>
      <c r="BT83" s="22">
        <f>70/2</f>
        <v>35</v>
      </c>
      <c r="BU83" s="23"/>
      <c r="BV83" s="22">
        <f>70/2</f>
        <v>35</v>
      </c>
      <c r="BW83" s="22">
        <f t="shared" si="29"/>
        <v>41.5</v>
      </c>
      <c r="BX83" s="22">
        <f>50/2</f>
        <v>25</v>
      </c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</row>
    <row r="84" spans="1:99" ht="15" customHeight="1" x14ac:dyDescent="0.2">
      <c r="A84" s="8" t="str">
        <f>INDEX([1]AEP!$B$2:$B$113,MATCH($B84,[1]AEP!$C$2:$C$113,0),1)</f>
        <v>Cow feeding system: all year indoor, maize silage &amp; soybean meal supplement</v>
      </c>
      <c r="B84" s="1" t="s">
        <v>82</v>
      </c>
      <c r="C84" s="3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2">
        <f>-30/2</f>
        <v>-15</v>
      </c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2">
        <f>-30/2</f>
        <v>-15</v>
      </c>
      <c r="BX84" s="22">
        <v>-15</v>
      </c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</row>
    <row r="85" spans="1:99" ht="15" customHeight="1" x14ac:dyDescent="0.2">
      <c r="A85" s="4" t="str">
        <f>INDEX([1]AEP!$B$2:$B$113,MATCH($B85,[1]AEP!$C$2:$C$113,0),1)</f>
        <v>Cow feeding system: all year indoor, sorghum silage &amp; soybean meal supplement</v>
      </c>
      <c r="B85" s="1" t="s">
        <v>83</v>
      </c>
      <c r="C85" s="3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2">
        <f>-30/2</f>
        <v>-15</v>
      </c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2">
        <f>-30/2</f>
        <v>-15</v>
      </c>
      <c r="BX85" s="22">
        <v>-15</v>
      </c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</row>
    <row r="86" spans="1:99" ht="15" customHeight="1" x14ac:dyDescent="0.2">
      <c r="A86" s="4" t="str">
        <f>INDEX([1]AEP!$B$2:$B$113,MATCH($B86,[1]AEP!$C$2:$C$113,0),1)</f>
        <v>Cow feeding system: all year indoor, sorghum &amp; alfalfa silage</v>
      </c>
      <c r="B86" s="1" t="s">
        <v>84</v>
      </c>
      <c r="C86" s="3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2">
        <f>-30/2</f>
        <v>-15</v>
      </c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2">
        <f>-30/2</f>
        <v>-15</v>
      </c>
      <c r="BX86" s="22">
        <v>-15</v>
      </c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</row>
    <row r="87" spans="1:99" ht="15" customHeight="1" x14ac:dyDescent="0.2">
      <c r="A87" s="4" t="str">
        <f>INDEX([1]AEP!$B$2:$B$113,MATCH($B87,[1]AEP!$C$2:$C$113,0),1)</f>
        <v>Cow feeding system: all year indoor, maize silage, alfalfa silage &amp; soybean meal supplement</v>
      </c>
      <c r="B87" s="1" t="s">
        <v>85</v>
      </c>
      <c r="C87" s="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2">
        <f>-30/2</f>
        <v>-15</v>
      </c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2">
        <f>-30/2</f>
        <v>-15</v>
      </c>
      <c r="BX87" s="22">
        <v>-15</v>
      </c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spans="1:99" ht="15" customHeight="1" x14ac:dyDescent="0.2">
      <c r="A88" s="4" t="str">
        <f>INDEX([1]AEP!$B$2:$B$113,MATCH($B88,[1]AEP!$C$2:$C$113,0),1)</f>
        <v>Cow feeding system: 4 months grazing &amp; soybean meal supplement</v>
      </c>
      <c r="B88" s="1" t="s">
        <v>86</v>
      </c>
      <c r="C88" s="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spans="1:99" ht="15" customHeight="1" x14ac:dyDescent="0.2">
      <c r="A89" s="4" t="str">
        <f>INDEX([1]AEP!$B$2:$B$113,MATCH($B89,[1]AEP!$C$2:$C$113,0),1)</f>
        <v>Cow feeding system: 4 months grazing &amp; rapeseed meal supplement</v>
      </c>
      <c r="B89" s="1" t="s">
        <v>87</v>
      </c>
      <c r="C89" s="3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spans="1:99" ht="15" customHeight="1" x14ac:dyDescent="0.2">
      <c r="A90" s="4" t="str">
        <f>INDEX([1]AEP!$B$2:$B$113,MATCH($B90,[1]AEP!$C$2:$C$113,0),1)</f>
        <v>Cow feeding system: 5 months grazing &amp; rapeseed meal supplement</v>
      </c>
      <c r="B90" s="1" t="s">
        <v>88</v>
      </c>
      <c r="C90" s="3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spans="1:99" ht="15" customHeight="1" x14ac:dyDescent="0.2">
      <c r="A91" s="4" t="str">
        <f>INDEX([1]AEP!$B$2:$B$113,MATCH($B91,[1]AEP!$C$2:$C$113,0),1)</f>
        <v>Cow feeding system: 7 months grazing &amp; rapeseed meal supplement</v>
      </c>
      <c r="B91" s="1" t="s">
        <v>89</v>
      </c>
      <c r="C91" s="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spans="1:99" ht="15" customHeight="1" x14ac:dyDescent="0.2">
      <c r="A92" s="4" t="str">
        <f>INDEX([1]AEP!$B$2:$B$113,MATCH($B92,[1]AEP!$C$2:$C$113,0),1)</f>
        <v>Cow feeding system: 8 months grazing &amp; faba bean supplement</v>
      </c>
      <c r="B92" s="1" t="s">
        <v>90</v>
      </c>
      <c r="C92" s="3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spans="1:99" ht="15" customHeight="1" x14ac:dyDescent="0.2">
      <c r="A93" s="4" t="str">
        <f>INDEX([1]AEP!$B$2:$B$113,MATCH($B93,[1]AEP!$C$2:$C$113,0),1)</f>
        <v>Cow feeding system: all year indoor, hay &amp; rapeseed meal supplement</v>
      </c>
      <c r="B93" s="1" t="s">
        <v>91</v>
      </c>
      <c r="C93" s="3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2">
        <f>-30/2</f>
        <v>-15</v>
      </c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2">
        <f>-30/2</f>
        <v>-15</v>
      </c>
      <c r="BX93" s="22">
        <v>-15</v>
      </c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spans="1:99" ht="15" customHeight="1" x14ac:dyDescent="0.2">
      <c r="A94" s="6" t="str">
        <f>INDEX([1]AEP!$B$2:$B$113,MATCH($B94,[1]AEP!$C$2:$C$113,0),1)</f>
        <v>Cow feeding system: 9 months grazing, without protein feed supplement</v>
      </c>
      <c r="B94" s="6" t="s">
        <v>92</v>
      </c>
      <c r="C94" s="3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spans="1:99" ht="15" customHeight="1" x14ac:dyDescent="0.2">
      <c r="A95" s="8" t="str">
        <f>INDEX([1]AEP!$B$2:$B$113,MATCH($B95,[1]AEP!$C$2:$C$113,0),1)</f>
        <v>No concentrate supply for lactating dairy cows</v>
      </c>
      <c r="B95" s="1" t="s">
        <v>93</v>
      </c>
      <c r="C95" s="3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spans="1:99" ht="15" customHeight="1" x14ac:dyDescent="0.2">
      <c r="A96" s="4" t="str">
        <f>INDEX([1]AEP!$B$2:$B$113,MATCH($B96,[1]AEP!$C$2:$C$113,0),1)</f>
        <v>+1000 kg / cow / year with soybean meal and cereals</v>
      </c>
      <c r="B96" s="1" t="s">
        <v>94</v>
      </c>
      <c r="C96" s="3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spans="1:99" ht="15" customHeight="1" x14ac:dyDescent="0.2">
      <c r="A97" s="4" t="str">
        <f>INDEX([1]AEP!$B$2:$B$113,MATCH($B97,[1]AEP!$C$2:$C$113,0),1)</f>
        <v>+500 kg / cow / year with soybean meal and cereals</v>
      </c>
      <c r="B97" s="1" t="s">
        <v>95</v>
      </c>
      <c r="C97" s="3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spans="1:99" ht="15" customHeight="1" x14ac:dyDescent="0.2">
      <c r="A98" s="6" t="str">
        <f>INDEX([1]AEP!$B$2:$B$113,MATCH($B98,[1]AEP!$C$2:$C$113,0),1)</f>
        <v>+500 kg / cow / year with faba bean and cereals</v>
      </c>
      <c r="B98" s="6" t="s">
        <v>96</v>
      </c>
      <c r="C98" s="3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spans="1:99" ht="15" customHeight="1" x14ac:dyDescent="0.2">
      <c r="A99" s="8" t="str">
        <f>INDEX([1]AEP!$B$2:$B$113,MATCH($B99,[1]AEP!$C$2:$C$113,0),1)</f>
        <v>Heifer feeding system: zero grazing / maize silage + soybean meal | Age at first calving: 24 months</v>
      </c>
      <c r="B99" s="1" t="s">
        <v>97</v>
      </c>
      <c r="C99" s="3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2">
        <f>-30/2</f>
        <v>-15</v>
      </c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2">
        <f>-30/2</f>
        <v>-15</v>
      </c>
      <c r="BX99" s="22">
        <v>-15</v>
      </c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spans="1:99" ht="15" customHeight="1" x14ac:dyDescent="0.2">
      <c r="A100" s="4" t="str">
        <f>INDEX([1]AEP!$B$2:$B$113,MATCH($B100,[1]AEP!$C$2:$C$113,0),1)</f>
        <v>Heifer feeding system: 4 months grazing / 8 months maize silage + hay + soybean meal | Age at first calving: 24 months</v>
      </c>
      <c r="B100" s="1" t="s">
        <v>98</v>
      </c>
      <c r="C100" s="3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spans="1:99" ht="15" customHeight="1" x14ac:dyDescent="0.2">
      <c r="A101" s="4" t="str">
        <f>INDEX([1]AEP!$B$2:$B$113,MATCH($B101,[1]AEP!$C$2:$C$113,0),1)</f>
        <v>Heifer feeding system: 6 months grazing / 6 months maize silage + grass silage (or hay) + soybean meal | Age at first calving: 24 months</v>
      </c>
      <c r="B101" s="1" t="s">
        <v>99</v>
      </c>
      <c r="C101" s="3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spans="1:99" ht="15" customHeight="1" x14ac:dyDescent="0.2">
      <c r="A102" s="4" t="str">
        <f>INDEX([1]AEP!$B$2:$B$113,MATCH($B102,[1]AEP!$C$2:$C$113,0),1)</f>
        <v>Heifer feeding system: 6 months grazing / 6 months grass silage (or hay) + cereals + soybean meal | Age at first calving: 24 months</v>
      </c>
      <c r="B102" s="1" t="s">
        <v>100</v>
      </c>
      <c r="C102" s="3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spans="1:99" ht="15" customHeight="1" x14ac:dyDescent="0.2">
      <c r="A103" s="4" t="str">
        <f>INDEX([1]AEP!$B$2:$B$113,MATCH($B103,[1]AEP!$C$2:$C$113,0),1)</f>
        <v>Heifer feeding system: zero grazing / maize silage + soybean meal | Age at first calving: 29 months</v>
      </c>
      <c r="B103" s="1" t="s">
        <v>101</v>
      </c>
      <c r="C103" s="3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2">
        <f>-30/2</f>
        <v>-15</v>
      </c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2">
        <f>-30/2</f>
        <v>-15</v>
      </c>
      <c r="BX103" s="22">
        <v>-15</v>
      </c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spans="1:99" ht="15" customHeight="1" x14ac:dyDescent="0.2">
      <c r="A104" s="4" t="str">
        <f>INDEX([1]AEP!$B$2:$B$113,MATCH($B104,[1]AEP!$C$2:$C$113,0),1)</f>
        <v>Heifer feeding system: 4 months grazing / 8 months maize silage + hay + soybean meal | Age at first calving: 29 months</v>
      </c>
      <c r="B104" s="1" t="s">
        <v>102</v>
      </c>
      <c r="C104" s="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spans="1:99" ht="15" customHeight="1" x14ac:dyDescent="0.2">
      <c r="A105" s="4" t="str">
        <f>INDEX([1]AEP!$B$2:$B$113,MATCH($B105,[1]AEP!$C$2:$C$113,0),1)</f>
        <v>Heifer feeding system: 6 months grazing / 6 months maize silage + grass silage (or hay) + soybean meal | Age at first calving: 29 months</v>
      </c>
      <c r="B105" s="1" t="s">
        <v>103</v>
      </c>
      <c r="C105" s="3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spans="1:99" ht="15" customHeight="1" x14ac:dyDescent="0.2">
      <c r="A106" s="6" t="str">
        <f>INDEX([1]AEP!$B$2:$B$113,MATCH($B106,[1]AEP!$C$2:$C$113,0),1)</f>
        <v>Heifer feeding system: 6 months grazing / 6 months grass silage (or hay) + cereals + soybean meal | Age at first calving: 29 months</v>
      </c>
      <c r="B106" s="6" t="s">
        <v>104</v>
      </c>
      <c r="C106" s="3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spans="1:99" ht="15" customHeight="1" x14ac:dyDescent="0.2">
      <c r="A107" s="8" t="str">
        <f>INDEX([1]AEP!$B$2:$B$113,MATCH($B107,[1]AEP!$C$2:$C$113,0),1)</f>
        <v>Systematic antibiotic treatment of cows</v>
      </c>
      <c r="B107" s="1" t="s">
        <v>105</v>
      </c>
      <c r="C107" s="3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spans="1:99" ht="15" customHeight="1" x14ac:dyDescent="0.2">
      <c r="A108" s="4" t="str">
        <f>INDEX([1]AEP!$B$2:$B$113,MATCH($B108,[1]AEP!$C$2:$C$113,0),1)</f>
        <v>Selective antibiotic treatment of cows</v>
      </c>
      <c r="B108" s="1" t="s">
        <v>106</v>
      </c>
      <c r="C108" s="3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spans="1:99" ht="15" customHeight="1" x14ac:dyDescent="0.2">
      <c r="A109" s="6" t="str">
        <f>INDEX([1]AEP!$B$2:$B$113,MATCH($B109,[1]AEP!$C$2:$C$113,0),1)</f>
        <v>Preventive measures of hygiene of the housing conditions (no treatment of cows)</v>
      </c>
      <c r="B109" s="6" t="s">
        <v>107</v>
      </c>
      <c r="C109" s="3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spans="1:99" ht="15" customHeight="1" x14ac:dyDescent="0.2">
      <c r="A110" s="8" t="str">
        <f>INDEX([1]AEP!$B$2:$B$113,MATCH($B110,[1]AEP!$C$2:$C$113,0),1)</f>
        <v>Systematic anti-parasitic treatment of heifers</v>
      </c>
      <c r="B110" s="1" t="s">
        <v>108</v>
      </c>
      <c r="C110" s="3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spans="1:99" ht="15" customHeight="1" x14ac:dyDescent="0.2">
      <c r="A111" s="4" t="str">
        <f>INDEX([1]AEP!$B$2:$B$113,MATCH($B111,[1]AEP!$C$2:$C$113,0),1)</f>
        <v>Selective/targeted treatment of heifers shedding high amounts of parasites</v>
      </c>
      <c r="B111" s="1" t="s">
        <v>109</v>
      </c>
      <c r="C111" s="3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spans="1:99" ht="15" customHeight="1" x14ac:dyDescent="0.2">
      <c r="A112" s="6" t="str">
        <f>INDEX([1]AEP!$B$2:$B$113,MATCH($B112,[1]AEP!$C$2:$C$113,0),1)</f>
        <v>Immunization against internal parasites by low exposure grazing of heifers (no treatment)</v>
      </c>
      <c r="B112" s="6" t="s">
        <v>110</v>
      </c>
      <c r="C112" s="3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spans="1:99" ht="15" customHeight="1" x14ac:dyDescent="0.2">
      <c r="A113" s="8" t="str">
        <f>INDEX([1]AEP!$B$2:$B$113,MATCH($B113,[1]AEP!$C$2:$C$113,0),1)</f>
        <v>Milk replacer is fed to calves</v>
      </c>
      <c r="B113" s="1" t="s">
        <v>111</v>
      </c>
      <c r="C113" s="3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spans="1:99" ht="15" customHeight="1" x14ac:dyDescent="0.2">
      <c r="A114" s="6" t="str">
        <f>INDEX([1]AEP!$B$2:$B$113,MATCH($B114,[1]AEP!$C$2:$C$113,0),1)</f>
        <v>Milk is fed to calves</v>
      </c>
      <c r="B114" s="6" t="s">
        <v>112</v>
      </c>
      <c r="C114" s="3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spans="1:99" ht="15" customHeight="1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99" ht="15" customHeight="1" x14ac:dyDescent="0.2">
      <c r="A116" s="7" t="s">
        <v>691</v>
      </c>
      <c r="B116" s="7" t="s">
        <v>692</v>
      </c>
      <c r="AE116" s="29">
        <v>0.33333333333333298</v>
      </c>
      <c r="AF116" s="29">
        <v>0.33333333333333298</v>
      </c>
      <c r="AG116" s="29">
        <v>0</v>
      </c>
      <c r="AH116" s="29">
        <v>0</v>
      </c>
      <c r="AI116" s="29">
        <v>0</v>
      </c>
      <c r="AJ116" s="29"/>
      <c r="AK116" s="29">
        <v>0</v>
      </c>
      <c r="AL116" s="29">
        <v>0.33333333333333298</v>
      </c>
      <c r="AM116" s="29">
        <v>0</v>
      </c>
      <c r="AN116" s="29">
        <v>0</v>
      </c>
      <c r="AO116" s="29">
        <v>0</v>
      </c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</row>
    <row r="117" spans="1:99" ht="15" customHeight="1" x14ac:dyDescent="0.2">
      <c r="A117" s="4" t="s">
        <v>693</v>
      </c>
      <c r="B117" s="4" t="s">
        <v>694</v>
      </c>
      <c r="AE117" s="29">
        <v>0.5</v>
      </c>
      <c r="AF117" s="29">
        <v>0</v>
      </c>
      <c r="AG117" s="29">
        <v>0.25</v>
      </c>
      <c r="AH117" s="29">
        <v>0.25</v>
      </c>
      <c r="AI117" s="29">
        <v>0</v>
      </c>
      <c r="AJ117" s="29"/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"/>
      <c r="BB117" s="31">
        <v>20</v>
      </c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</row>
    <row r="118" spans="1:99" ht="15" customHeight="1" x14ac:dyDescent="0.2">
      <c r="A118" s="4" t="s">
        <v>695</v>
      </c>
      <c r="B118" s="4" t="s">
        <v>696</v>
      </c>
      <c r="AE118" s="29">
        <v>0.5</v>
      </c>
      <c r="AF118" s="29">
        <v>0</v>
      </c>
      <c r="AG118" s="29">
        <v>0</v>
      </c>
      <c r="AH118" s="29">
        <v>0.25</v>
      </c>
      <c r="AI118" s="29">
        <v>0.25</v>
      </c>
      <c r="AJ118" s="29"/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"/>
      <c r="BB118" s="31">
        <v>20</v>
      </c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</row>
    <row r="119" spans="1:99" ht="15" customHeight="1" x14ac:dyDescent="0.2">
      <c r="A119" s="4" t="s">
        <v>697</v>
      </c>
      <c r="B119" s="4" t="s">
        <v>698</v>
      </c>
      <c r="AE119" s="29">
        <v>0.2</v>
      </c>
      <c r="AF119" s="29">
        <v>0</v>
      </c>
      <c r="AG119" s="29">
        <v>0</v>
      </c>
      <c r="AH119" s="29">
        <v>0</v>
      </c>
      <c r="AI119" s="29">
        <v>0</v>
      </c>
      <c r="AJ119" s="29"/>
      <c r="AK119" s="29">
        <v>0</v>
      </c>
      <c r="AL119" s="29">
        <v>0.2</v>
      </c>
      <c r="AM119" s="29">
        <v>0.6</v>
      </c>
      <c r="AN119" s="29">
        <v>0</v>
      </c>
      <c r="AO119" s="29">
        <v>0</v>
      </c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"/>
      <c r="BB119" s="31"/>
      <c r="BC119" s="31"/>
      <c r="BD119" s="31"/>
      <c r="BE119" s="31"/>
      <c r="BF119" s="31"/>
      <c r="BG119" s="31"/>
      <c r="BH119" s="31"/>
      <c r="BI119" s="31">
        <v>30</v>
      </c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</row>
    <row r="120" spans="1:99" ht="15" customHeight="1" x14ac:dyDescent="0.2">
      <c r="A120" s="4" t="s">
        <v>699</v>
      </c>
      <c r="B120" s="4" t="s">
        <v>700</v>
      </c>
      <c r="AE120" s="29">
        <v>0.4</v>
      </c>
      <c r="AF120" s="29">
        <v>0</v>
      </c>
      <c r="AG120" s="29">
        <v>0</v>
      </c>
      <c r="AH120" s="29">
        <v>0.2</v>
      </c>
      <c r="AI120" s="29">
        <v>0.2</v>
      </c>
      <c r="AJ120" s="29"/>
      <c r="AK120" s="29">
        <v>0.2</v>
      </c>
      <c r="AL120" s="29">
        <v>0</v>
      </c>
      <c r="AM120" s="29">
        <v>0</v>
      </c>
      <c r="AN120" s="29">
        <v>0</v>
      </c>
      <c r="AO120" s="29">
        <v>0</v>
      </c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"/>
      <c r="BB120" s="31">
        <v>20</v>
      </c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</row>
    <row r="121" spans="1:99" ht="15" customHeight="1" x14ac:dyDescent="0.2">
      <c r="A121" s="4" t="s">
        <v>701</v>
      </c>
      <c r="B121" s="4" t="s">
        <v>702</v>
      </c>
      <c r="AE121" s="29">
        <v>0.2</v>
      </c>
      <c r="AF121" s="29">
        <v>0</v>
      </c>
      <c r="AG121" s="29">
        <v>0</v>
      </c>
      <c r="AH121" s="29">
        <v>0</v>
      </c>
      <c r="AI121" s="29">
        <v>0</v>
      </c>
      <c r="AJ121" s="29"/>
      <c r="AK121" s="29">
        <v>0</v>
      </c>
      <c r="AL121" s="29">
        <v>0.2</v>
      </c>
      <c r="AM121" s="29">
        <v>0</v>
      </c>
      <c r="AN121" s="29">
        <v>0</v>
      </c>
      <c r="AO121" s="29">
        <v>0.6</v>
      </c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"/>
      <c r="BB121" s="31"/>
      <c r="BC121" s="31"/>
      <c r="BD121" s="31"/>
      <c r="BE121" s="31"/>
      <c r="BF121" s="31"/>
      <c r="BG121" s="31"/>
      <c r="BH121" s="31"/>
      <c r="BI121" s="31">
        <v>70</v>
      </c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</row>
    <row r="122" spans="1:99" ht="15" customHeight="1" x14ac:dyDescent="0.2">
      <c r="A122" s="4" t="s">
        <v>703</v>
      </c>
      <c r="B122" s="4" t="s">
        <v>704</v>
      </c>
      <c r="AE122" s="29">
        <v>0.33333333333333298</v>
      </c>
      <c r="AF122" s="29">
        <v>0</v>
      </c>
      <c r="AG122" s="29">
        <v>0.16666666666666699</v>
      </c>
      <c r="AH122" s="29">
        <v>0</v>
      </c>
      <c r="AI122" s="29">
        <v>0</v>
      </c>
      <c r="AJ122" s="29"/>
      <c r="AK122" s="29">
        <v>0</v>
      </c>
      <c r="AL122" s="29">
        <v>0</v>
      </c>
      <c r="AM122" s="29">
        <v>0</v>
      </c>
      <c r="AN122" s="29">
        <v>0</v>
      </c>
      <c r="AO122" s="29">
        <v>0.5</v>
      </c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"/>
      <c r="BB122" s="31">
        <f>(70+20)/2</f>
        <v>45</v>
      </c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</row>
    <row r="123" spans="1:99" ht="15" customHeight="1" x14ac:dyDescent="0.2">
      <c r="A123" s="4" t="s">
        <v>705</v>
      </c>
      <c r="B123" s="4" t="s">
        <v>706</v>
      </c>
      <c r="AE123" s="29">
        <v>0.25</v>
      </c>
      <c r="AF123" s="29">
        <v>0.125</v>
      </c>
      <c r="AG123" s="29">
        <v>0.125</v>
      </c>
      <c r="AH123" s="29">
        <v>0</v>
      </c>
      <c r="AI123" s="29">
        <v>0</v>
      </c>
      <c r="AJ123" s="29"/>
      <c r="AK123" s="29">
        <v>0</v>
      </c>
      <c r="AL123" s="29">
        <v>0.125</v>
      </c>
      <c r="AM123" s="29">
        <v>0.375</v>
      </c>
      <c r="AN123" s="29">
        <v>0</v>
      </c>
      <c r="AO123" s="29">
        <v>0</v>
      </c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"/>
      <c r="BB123" s="31">
        <f>20/2</f>
        <v>10</v>
      </c>
      <c r="BC123" s="31"/>
      <c r="BD123" s="31"/>
      <c r="BE123" s="31"/>
      <c r="BF123" s="31"/>
      <c r="BG123" s="31"/>
      <c r="BH123" s="31"/>
      <c r="BI123" s="31">
        <v>30</v>
      </c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</row>
    <row r="124" spans="1:99" ht="15" customHeight="1" x14ac:dyDescent="0.2">
      <c r="A124" s="4" t="s">
        <v>707</v>
      </c>
      <c r="B124" s="4" t="s">
        <v>708</v>
      </c>
      <c r="AE124" s="29">
        <v>0.33333333333333298</v>
      </c>
      <c r="AF124" s="29">
        <v>0</v>
      </c>
      <c r="AG124" s="29">
        <v>0</v>
      </c>
      <c r="AH124" s="29">
        <v>0</v>
      </c>
      <c r="AI124" s="29">
        <v>0.11111111111111099</v>
      </c>
      <c r="AJ124" s="29"/>
      <c r="AK124" s="29">
        <v>0.11111111111111099</v>
      </c>
      <c r="AL124" s="29">
        <v>0.11111111111111099</v>
      </c>
      <c r="AM124" s="29">
        <v>0</v>
      </c>
      <c r="AN124" s="29">
        <v>0</v>
      </c>
      <c r="AO124" s="29">
        <v>0.33333333333333298</v>
      </c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"/>
      <c r="BB124" s="31">
        <f>(20+20)/3</f>
        <v>13.333333333333334</v>
      </c>
      <c r="BC124" s="31"/>
      <c r="BD124" s="31"/>
      <c r="BE124" s="31"/>
      <c r="BF124" s="31"/>
      <c r="BG124" s="31"/>
      <c r="BH124" s="31"/>
      <c r="BI124" s="31">
        <v>70</v>
      </c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</row>
    <row r="125" spans="1:99" ht="15" customHeight="1" x14ac:dyDescent="0.2">
      <c r="A125" s="4" t="s">
        <v>709</v>
      </c>
      <c r="B125" s="4" t="s">
        <v>710</v>
      </c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>
        <v>0.33333333333333298</v>
      </c>
      <c r="AQ125" s="30">
        <v>0.33333333333333298</v>
      </c>
      <c r="AR125" s="30">
        <v>0</v>
      </c>
      <c r="AS125" s="30">
        <v>0</v>
      </c>
      <c r="AT125" s="30">
        <v>0</v>
      </c>
      <c r="AU125" s="30"/>
      <c r="AV125" s="30">
        <v>0</v>
      </c>
      <c r="AW125" s="30">
        <v>0.33333333333333298</v>
      </c>
      <c r="AX125" s="30">
        <v>0</v>
      </c>
      <c r="AY125" s="30">
        <v>0</v>
      </c>
      <c r="AZ125" s="30">
        <v>0</v>
      </c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</row>
    <row r="126" spans="1:99" ht="15" customHeight="1" x14ac:dyDescent="0.2">
      <c r="A126" s="4" t="s">
        <v>711</v>
      </c>
      <c r="B126" s="4" t="s">
        <v>712</v>
      </c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>
        <v>0.5</v>
      </c>
      <c r="AQ126" s="30">
        <v>0</v>
      </c>
      <c r="AR126" s="30">
        <v>0.25</v>
      </c>
      <c r="AS126" s="30">
        <v>0.25</v>
      </c>
      <c r="AT126" s="30">
        <v>0</v>
      </c>
      <c r="AU126" s="30"/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>
        <v>20</v>
      </c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</row>
    <row r="127" spans="1:99" ht="15" customHeight="1" x14ac:dyDescent="0.2">
      <c r="A127" s="4" t="s">
        <v>713</v>
      </c>
      <c r="B127" s="4" t="s">
        <v>714</v>
      </c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>
        <v>0.5</v>
      </c>
      <c r="AQ127" s="30">
        <v>0</v>
      </c>
      <c r="AR127" s="30">
        <v>0</v>
      </c>
      <c r="AS127" s="30">
        <v>0.25</v>
      </c>
      <c r="AT127" s="30">
        <v>0.25</v>
      </c>
      <c r="AU127" s="30"/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>
        <v>20</v>
      </c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</row>
    <row r="128" spans="1:99" ht="15" customHeight="1" x14ac:dyDescent="0.2">
      <c r="A128" s="4" t="s">
        <v>715</v>
      </c>
      <c r="B128" s="4" t="s">
        <v>716</v>
      </c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>
        <v>0.2</v>
      </c>
      <c r="AQ128" s="30">
        <v>0</v>
      </c>
      <c r="AR128" s="30">
        <v>0</v>
      </c>
      <c r="AS128" s="30">
        <v>0</v>
      </c>
      <c r="AT128" s="30">
        <v>0</v>
      </c>
      <c r="AU128" s="30"/>
      <c r="AV128" s="30">
        <v>0</v>
      </c>
      <c r="AW128" s="30">
        <v>0.2</v>
      </c>
      <c r="AX128" s="30">
        <v>0.6</v>
      </c>
      <c r="AY128" s="30">
        <v>0</v>
      </c>
      <c r="AZ128" s="30">
        <v>0</v>
      </c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>
        <v>30</v>
      </c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</row>
    <row r="129" spans="1:98" ht="15" customHeight="1" x14ac:dyDescent="0.2">
      <c r="A129" s="4" t="s">
        <v>717</v>
      </c>
      <c r="B129" s="4" t="s">
        <v>718</v>
      </c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>
        <v>0.4</v>
      </c>
      <c r="AQ129" s="30">
        <v>0</v>
      </c>
      <c r="AR129" s="30">
        <v>0</v>
      </c>
      <c r="AS129" s="30">
        <v>0.2</v>
      </c>
      <c r="AT129" s="30">
        <v>0.2</v>
      </c>
      <c r="AU129" s="30"/>
      <c r="AV129" s="30">
        <v>0.2</v>
      </c>
      <c r="AW129" s="30">
        <v>0</v>
      </c>
      <c r="AX129" s="30">
        <v>0</v>
      </c>
      <c r="AY129" s="30">
        <v>0</v>
      </c>
      <c r="AZ129" s="30">
        <v>0</v>
      </c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>
        <v>20</v>
      </c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</row>
    <row r="130" spans="1:98" ht="15" customHeight="1" x14ac:dyDescent="0.2">
      <c r="A130" s="4" t="s">
        <v>719</v>
      </c>
      <c r="B130" s="4" t="s">
        <v>720</v>
      </c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>
        <v>0.2</v>
      </c>
      <c r="AQ130" s="30">
        <v>0</v>
      </c>
      <c r="AR130" s="30">
        <v>0</v>
      </c>
      <c r="AS130" s="30">
        <v>0</v>
      </c>
      <c r="AT130" s="30">
        <v>0</v>
      </c>
      <c r="AU130" s="30"/>
      <c r="AV130" s="30">
        <v>0</v>
      </c>
      <c r="AW130" s="30">
        <v>0.2</v>
      </c>
      <c r="AX130" s="30">
        <v>0</v>
      </c>
      <c r="AY130" s="30">
        <v>0</v>
      </c>
      <c r="AZ130" s="30">
        <v>0.6</v>
      </c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>
        <v>70</v>
      </c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</row>
    <row r="131" spans="1:98" ht="15" customHeight="1" x14ac:dyDescent="0.2">
      <c r="A131" s="4" t="s">
        <v>721</v>
      </c>
      <c r="B131" s="4" t="s">
        <v>722</v>
      </c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>
        <v>0.33333333333333298</v>
      </c>
      <c r="AQ131" s="30">
        <v>0</v>
      </c>
      <c r="AR131" s="30">
        <v>0.16666666666666699</v>
      </c>
      <c r="AS131" s="30">
        <v>0</v>
      </c>
      <c r="AT131" s="30">
        <v>0</v>
      </c>
      <c r="AU131" s="30"/>
      <c r="AV131" s="30">
        <v>0</v>
      </c>
      <c r="AW131" s="30">
        <v>0</v>
      </c>
      <c r="AX131" s="30">
        <v>0</v>
      </c>
      <c r="AY131" s="30">
        <v>0</v>
      </c>
      <c r="AZ131" s="30">
        <v>0.5</v>
      </c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>
        <f>(70+20)/2</f>
        <v>45</v>
      </c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</row>
    <row r="132" spans="1:98" ht="15" customHeight="1" x14ac:dyDescent="0.2">
      <c r="A132" s="4" t="s">
        <v>723</v>
      </c>
      <c r="B132" s="4" t="s">
        <v>724</v>
      </c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>
        <v>0.25</v>
      </c>
      <c r="AQ132" s="30">
        <v>0.125</v>
      </c>
      <c r="AR132" s="30">
        <v>0.125</v>
      </c>
      <c r="AS132" s="30">
        <v>0</v>
      </c>
      <c r="AT132" s="30">
        <v>0</v>
      </c>
      <c r="AU132" s="30"/>
      <c r="AV132" s="30">
        <v>0</v>
      </c>
      <c r="AW132" s="30">
        <v>0.125</v>
      </c>
      <c r="AX132" s="30">
        <v>0.375</v>
      </c>
      <c r="AY132" s="30">
        <v>0</v>
      </c>
      <c r="AZ132" s="30">
        <v>0</v>
      </c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>
        <f>20/2</f>
        <v>10</v>
      </c>
      <c r="BN132" s="31"/>
      <c r="BO132" s="31"/>
      <c r="BP132" s="31"/>
      <c r="BQ132" s="31"/>
      <c r="BR132" s="31"/>
      <c r="BS132" s="31"/>
      <c r="BT132" s="31">
        <v>30</v>
      </c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</row>
    <row r="133" spans="1:98" ht="15" customHeight="1" x14ac:dyDescent="0.2">
      <c r="A133" s="6" t="s">
        <v>725</v>
      </c>
      <c r="B133" s="6" t="s">
        <v>726</v>
      </c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>
        <v>0.33333333333333298</v>
      </c>
      <c r="AQ133" s="30">
        <v>0</v>
      </c>
      <c r="AR133" s="30">
        <v>0</v>
      </c>
      <c r="AS133" s="30">
        <v>0</v>
      </c>
      <c r="AT133" s="30">
        <v>0.11111111111111099</v>
      </c>
      <c r="AU133" s="30"/>
      <c r="AV133" s="30">
        <v>0.11111111111111099</v>
      </c>
      <c r="AW133" s="30">
        <v>0.11111111111111099</v>
      </c>
      <c r="AX133" s="30">
        <v>0</v>
      </c>
      <c r="AY133" s="30">
        <v>0</v>
      </c>
      <c r="AZ133" s="30">
        <v>0.33333333333333298</v>
      </c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>
        <f>(20+20)/3</f>
        <v>13.333333333333334</v>
      </c>
      <c r="BN133" s="31"/>
      <c r="BO133" s="31"/>
      <c r="BP133" s="31"/>
      <c r="BQ133" s="31"/>
      <c r="BR133" s="31"/>
      <c r="BS133" s="31"/>
      <c r="BT133" s="31">
        <v>70</v>
      </c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</row>
    <row r="134" spans="1:98" ht="15" customHeight="1" x14ac:dyDescent="0.2">
      <c r="A134" s="7" t="s">
        <v>769</v>
      </c>
      <c r="B134" s="7" t="s">
        <v>727</v>
      </c>
      <c r="AE134" s="30">
        <v>0.5</v>
      </c>
      <c r="AF134" s="30">
        <v>0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0.5</v>
      </c>
      <c r="AM134" s="30">
        <v>0</v>
      </c>
      <c r="AN134" s="30">
        <v>0</v>
      </c>
      <c r="AO134" s="30">
        <v>0</v>
      </c>
    </row>
    <row r="135" spans="1:98" ht="15" customHeight="1" x14ac:dyDescent="0.2">
      <c r="A135" s="4" t="s">
        <v>779</v>
      </c>
      <c r="B135" s="4" t="s">
        <v>728</v>
      </c>
      <c r="AE135" s="30">
        <f>1/3</f>
        <v>0.33333333333333331</v>
      </c>
      <c r="AF135" s="30">
        <v>0</v>
      </c>
      <c r="AG135" s="30">
        <v>0</v>
      </c>
      <c r="AH135" s="30">
        <f>1/3</f>
        <v>0.33333333333333331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f>1/3</f>
        <v>0.33333333333333331</v>
      </c>
      <c r="AO135" s="30">
        <v>0</v>
      </c>
      <c r="BK135" s="31">
        <v>20</v>
      </c>
    </row>
    <row r="136" spans="1:98" ht="15" customHeight="1" x14ac:dyDescent="0.2">
      <c r="A136" s="4" t="s">
        <v>780</v>
      </c>
      <c r="B136" s="4" t="s">
        <v>729</v>
      </c>
      <c r="AE136" s="30">
        <f>1/3</f>
        <v>0.33333333333333331</v>
      </c>
      <c r="AF136" s="30">
        <v>0</v>
      </c>
      <c r="AG136" s="30">
        <v>0</v>
      </c>
      <c r="AH136" s="30">
        <v>0</v>
      </c>
      <c r="AI136" s="30">
        <f>1/3</f>
        <v>0.33333333333333331</v>
      </c>
      <c r="AJ136" s="30">
        <v>0</v>
      </c>
      <c r="AK136" s="30">
        <v>0</v>
      </c>
      <c r="AL136" s="30">
        <v>0</v>
      </c>
      <c r="AM136" s="30">
        <v>0</v>
      </c>
      <c r="AN136" s="30">
        <f>1/3</f>
        <v>0.33333333333333331</v>
      </c>
      <c r="AO136" s="30">
        <v>0</v>
      </c>
      <c r="BK136" s="31">
        <v>20</v>
      </c>
    </row>
    <row r="137" spans="1:98" ht="15" customHeight="1" x14ac:dyDescent="0.2">
      <c r="A137" s="4" t="s">
        <v>697</v>
      </c>
      <c r="B137" s="4" t="s">
        <v>730</v>
      </c>
      <c r="AE137" s="30">
        <f>1/5</f>
        <v>0.2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f>1/5</f>
        <v>0.2</v>
      </c>
      <c r="AM137" s="30">
        <f>3/5</f>
        <v>0.6</v>
      </c>
      <c r="AN137" s="30">
        <v>0</v>
      </c>
      <c r="AO137" s="30">
        <v>0</v>
      </c>
      <c r="BI137" s="31">
        <v>30</v>
      </c>
    </row>
    <row r="138" spans="1:98" ht="15" customHeight="1" x14ac:dyDescent="0.2">
      <c r="A138" s="4" t="s">
        <v>763</v>
      </c>
      <c r="B138" s="4" t="s">
        <v>731</v>
      </c>
      <c r="AE138" s="30">
        <f>1/4</f>
        <v>0.25</v>
      </c>
      <c r="AF138" s="30">
        <v>0</v>
      </c>
      <c r="AG138" s="30">
        <v>0</v>
      </c>
      <c r="AH138" s="30">
        <v>0</v>
      </c>
      <c r="AI138" s="30">
        <f>1/4</f>
        <v>0.25</v>
      </c>
      <c r="AJ138" s="30">
        <v>0</v>
      </c>
      <c r="AK138" s="30">
        <f>1/4</f>
        <v>0.25</v>
      </c>
      <c r="AL138" s="30">
        <f>1/4</f>
        <v>0.25</v>
      </c>
      <c r="AM138" s="30">
        <v>0</v>
      </c>
      <c r="AN138" s="30">
        <v>0</v>
      </c>
      <c r="AO138" s="30">
        <v>0</v>
      </c>
      <c r="BB138" s="31">
        <v>20</v>
      </c>
      <c r="BI138" s="31">
        <v>20</v>
      </c>
    </row>
    <row r="139" spans="1:98" ht="15" customHeight="1" x14ac:dyDescent="0.2">
      <c r="A139" s="4" t="s">
        <v>701</v>
      </c>
      <c r="B139" s="4" t="s">
        <v>732</v>
      </c>
      <c r="AE139" s="30">
        <f>1/5</f>
        <v>0.2</v>
      </c>
      <c r="AF139" s="30">
        <v>0</v>
      </c>
      <c r="AG139" s="30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f>1/5</f>
        <v>0.2</v>
      </c>
      <c r="AM139" s="30">
        <v>0</v>
      </c>
      <c r="AN139" s="30">
        <v>0</v>
      </c>
      <c r="AO139" s="30">
        <f>3/5</f>
        <v>0.6</v>
      </c>
      <c r="BI139" s="31">
        <v>70</v>
      </c>
    </row>
    <row r="140" spans="1:98" ht="15" customHeight="1" x14ac:dyDescent="0.2">
      <c r="A140" s="4" t="s">
        <v>781</v>
      </c>
      <c r="B140" s="4" t="s">
        <v>733</v>
      </c>
      <c r="AE140" s="30">
        <f>1/5</f>
        <v>0.2</v>
      </c>
      <c r="AF140" s="30">
        <v>0</v>
      </c>
      <c r="AG140" s="30">
        <v>0</v>
      </c>
      <c r="AH140" s="30">
        <v>0</v>
      </c>
      <c r="AI140" s="30">
        <v>0</v>
      </c>
      <c r="AJ140" s="30">
        <v>0</v>
      </c>
      <c r="AK140" s="30">
        <v>0</v>
      </c>
      <c r="AL140" s="30">
        <v>0</v>
      </c>
      <c r="AM140" s="30">
        <v>0</v>
      </c>
      <c r="AN140" s="30">
        <f>1/5</f>
        <v>0.2</v>
      </c>
      <c r="AO140" s="30">
        <f>3/5</f>
        <v>0.6</v>
      </c>
      <c r="BK140" s="31">
        <v>70</v>
      </c>
    </row>
    <row r="141" spans="1:98" ht="15" customHeight="1" x14ac:dyDescent="0.2">
      <c r="A141" s="4" t="s">
        <v>782</v>
      </c>
      <c r="B141" s="4" t="s">
        <v>734</v>
      </c>
      <c r="AE141" s="30">
        <f>1/7</f>
        <v>0.14285714285714285</v>
      </c>
      <c r="AF141" s="30">
        <f>1/7</f>
        <v>0.14285714285714285</v>
      </c>
      <c r="AG141" s="30">
        <v>0</v>
      </c>
      <c r="AH141" s="30">
        <v>0</v>
      </c>
      <c r="AI141" s="30">
        <v>0</v>
      </c>
      <c r="AJ141" s="30">
        <v>0</v>
      </c>
      <c r="AK141" s="30">
        <f>1/7</f>
        <v>0.14285714285714285</v>
      </c>
      <c r="AL141" s="30">
        <f>1/7</f>
        <v>0.14285714285714285</v>
      </c>
      <c r="AM141" s="30">
        <f>3/7</f>
        <v>0.42857142857142855</v>
      </c>
      <c r="AN141" s="30">
        <v>0</v>
      </c>
      <c r="AO141" s="30">
        <v>0</v>
      </c>
      <c r="BB141" s="31">
        <v>20</v>
      </c>
      <c r="BI141" s="31">
        <v>30</v>
      </c>
    </row>
    <row r="142" spans="1:98" ht="15" customHeight="1" x14ac:dyDescent="0.2">
      <c r="A142" s="4" t="s">
        <v>783</v>
      </c>
      <c r="B142" s="4" t="s">
        <v>735</v>
      </c>
      <c r="AE142" s="30">
        <f>1/8</f>
        <v>0.125</v>
      </c>
      <c r="AF142" s="30">
        <f>1/8</f>
        <v>0.125</v>
      </c>
      <c r="AG142" s="30">
        <v>0</v>
      </c>
      <c r="AH142" s="30">
        <v>0</v>
      </c>
      <c r="AI142" s="30">
        <f>1/8</f>
        <v>0.125</v>
      </c>
      <c r="AJ142" s="30">
        <v>0</v>
      </c>
      <c r="AK142" s="30">
        <f>1/8</f>
        <v>0.125</v>
      </c>
      <c r="AL142" s="30">
        <v>0</v>
      </c>
      <c r="AM142" s="30">
        <f>3/8</f>
        <v>0.375</v>
      </c>
      <c r="AN142" s="30">
        <f>1/8</f>
        <v>0.125</v>
      </c>
      <c r="AO142" s="30">
        <v>0</v>
      </c>
      <c r="BB142" s="31">
        <v>20</v>
      </c>
      <c r="BF142" s="31">
        <v>20</v>
      </c>
      <c r="BK142" s="31">
        <v>30</v>
      </c>
    </row>
    <row r="143" spans="1:98" ht="15" customHeight="1" x14ac:dyDescent="0.2">
      <c r="A143" s="4" t="s">
        <v>774</v>
      </c>
      <c r="B143" s="4" t="s">
        <v>736</v>
      </c>
      <c r="AP143" s="30">
        <v>0.5</v>
      </c>
      <c r="AQ143" s="30">
        <v>0</v>
      </c>
      <c r="AR143" s="30">
        <v>0</v>
      </c>
      <c r="AS143" s="30">
        <v>0</v>
      </c>
      <c r="AT143" s="30">
        <v>0</v>
      </c>
      <c r="AU143" s="30">
        <v>0</v>
      </c>
      <c r="AV143" s="30">
        <v>0</v>
      </c>
      <c r="AW143" s="30">
        <v>0.5</v>
      </c>
      <c r="AX143" s="30">
        <v>0</v>
      </c>
      <c r="AY143" s="30">
        <v>0</v>
      </c>
      <c r="AZ143" s="30">
        <v>0</v>
      </c>
    </row>
    <row r="144" spans="1:98" ht="15" customHeight="1" x14ac:dyDescent="0.2">
      <c r="A144" s="4" t="s">
        <v>784</v>
      </c>
      <c r="B144" s="4" t="s">
        <v>737</v>
      </c>
      <c r="AP144" s="30">
        <f>1/3</f>
        <v>0.33333333333333331</v>
      </c>
      <c r="AQ144" s="30">
        <v>0</v>
      </c>
      <c r="AR144" s="30">
        <v>0</v>
      </c>
      <c r="AS144" s="30">
        <f>1/3</f>
        <v>0.33333333333333331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f>1/3</f>
        <v>0.33333333333333331</v>
      </c>
      <c r="AZ144" s="30">
        <v>0</v>
      </c>
      <c r="BV144" s="31">
        <v>20</v>
      </c>
    </row>
    <row r="145" spans="1:74" ht="15" customHeight="1" x14ac:dyDescent="0.2">
      <c r="A145" s="4" t="s">
        <v>785</v>
      </c>
      <c r="B145" s="4" t="s">
        <v>738</v>
      </c>
      <c r="AP145" s="30">
        <f>1/3</f>
        <v>0.33333333333333331</v>
      </c>
      <c r="AQ145" s="30">
        <v>0</v>
      </c>
      <c r="AR145" s="30">
        <v>0</v>
      </c>
      <c r="AS145" s="30">
        <v>0</v>
      </c>
      <c r="AT145" s="30">
        <f>1/3</f>
        <v>0.33333333333333331</v>
      </c>
      <c r="AU145" s="30">
        <v>0</v>
      </c>
      <c r="AV145" s="30">
        <v>0</v>
      </c>
      <c r="AW145" s="30">
        <v>0</v>
      </c>
      <c r="AX145" s="30">
        <v>0</v>
      </c>
      <c r="AY145" s="30">
        <f>1/3</f>
        <v>0.33333333333333331</v>
      </c>
      <c r="AZ145" s="30">
        <v>0</v>
      </c>
      <c r="BV145" s="31">
        <v>20</v>
      </c>
    </row>
    <row r="146" spans="1:74" ht="15" customHeight="1" x14ac:dyDescent="0.2">
      <c r="A146" s="4" t="s">
        <v>715</v>
      </c>
      <c r="B146" s="4" t="s">
        <v>739</v>
      </c>
      <c r="AP146" s="30">
        <f>1/5</f>
        <v>0.2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f>1/5</f>
        <v>0.2</v>
      </c>
      <c r="AX146" s="30">
        <f>3/5</f>
        <v>0.6</v>
      </c>
      <c r="AY146" s="30">
        <v>0</v>
      </c>
      <c r="AZ146" s="30">
        <v>0</v>
      </c>
      <c r="BT146" s="31">
        <v>30</v>
      </c>
    </row>
    <row r="147" spans="1:74" ht="15" customHeight="1" x14ac:dyDescent="0.2">
      <c r="A147" s="4" t="s">
        <v>766</v>
      </c>
      <c r="B147" s="4" t="s">
        <v>740</v>
      </c>
      <c r="AP147" s="30">
        <f>1/4</f>
        <v>0.25</v>
      </c>
      <c r="AQ147" s="30">
        <v>0</v>
      </c>
      <c r="AR147" s="30">
        <v>0</v>
      </c>
      <c r="AS147" s="30">
        <v>0</v>
      </c>
      <c r="AT147" s="30">
        <f>1/4</f>
        <v>0.25</v>
      </c>
      <c r="AU147" s="30">
        <v>0</v>
      </c>
      <c r="AV147" s="30">
        <f>1/4</f>
        <v>0.25</v>
      </c>
      <c r="AW147" s="30">
        <f>1/4</f>
        <v>0.25</v>
      </c>
      <c r="AX147" s="30">
        <v>0</v>
      </c>
      <c r="AY147" s="30">
        <v>0</v>
      </c>
      <c r="AZ147" s="30">
        <v>0</v>
      </c>
      <c r="BM147" s="31">
        <v>20</v>
      </c>
      <c r="BT147" s="31">
        <v>20</v>
      </c>
    </row>
    <row r="148" spans="1:74" ht="15" customHeight="1" x14ac:dyDescent="0.2">
      <c r="A148" s="4" t="s">
        <v>719</v>
      </c>
      <c r="B148" s="4" t="s">
        <v>741</v>
      </c>
      <c r="AP148" s="30">
        <f>1/5</f>
        <v>0.2</v>
      </c>
      <c r="AQ148" s="30">
        <v>0</v>
      </c>
      <c r="AR148" s="30">
        <v>0</v>
      </c>
      <c r="AS148" s="30">
        <v>0</v>
      </c>
      <c r="AT148" s="30">
        <v>0</v>
      </c>
      <c r="AU148" s="30">
        <v>0</v>
      </c>
      <c r="AV148" s="30">
        <v>0</v>
      </c>
      <c r="AW148" s="30">
        <f>1/5</f>
        <v>0.2</v>
      </c>
      <c r="AX148" s="30">
        <v>0</v>
      </c>
      <c r="AY148" s="30">
        <v>0</v>
      </c>
      <c r="AZ148" s="30">
        <f>3/5</f>
        <v>0.6</v>
      </c>
      <c r="BT148" s="31">
        <v>70</v>
      </c>
    </row>
    <row r="149" spans="1:74" ht="15" customHeight="1" x14ac:dyDescent="0.2">
      <c r="A149" s="4" t="s">
        <v>786</v>
      </c>
      <c r="B149" s="4" t="s">
        <v>742</v>
      </c>
      <c r="AP149" s="30">
        <f>1/5</f>
        <v>0.2</v>
      </c>
      <c r="AQ149" s="30">
        <v>0</v>
      </c>
      <c r="AR149" s="30">
        <v>0</v>
      </c>
      <c r="AS149" s="30">
        <v>0</v>
      </c>
      <c r="AT149" s="30">
        <v>0</v>
      </c>
      <c r="AU149" s="30">
        <v>0</v>
      </c>
      <c r="AV149" s="30">
        <v>0</v>
      </c>
      <c r="AW149" s="30">
        <v>0</v>
      </c>
      <c r="AX149" s="30">
        <v>0</v>
      </c>
      <c r="AY149" s="30">
        <f>1/5</f>
        <v>0.2</v>
      </c>
      <c r="AZ149" s="30">
        <f>3/5</f>
        <v>0.6</v>
      </c>
      <c r="BV149" s="31">
        <v>70</v>
      </c>
    </row>
    <row r="150" spans="1:74" ht="15" customHeight="1" x14ac:dyDescent="0.2">
      <c r="A150" s="4" t="s">
        <v>787</v>
      </c>
      <c r="B150" s="4" t="s">
        <v>743</v>
      </c>
      <c r="AP150" s="30">
        <f>1/7</f>
        <v>0.14285714285714285</v>
      </c>
      <c r="AQ150" s="30">
        <f>1/7</f>
        <v>0.14285714285714285</v>
      </c>
      <c r="AR150" s="30">
        <v>0</v>
      </c>
      <c r="AS150" s="30">
        <v>0</v>
      </c>
      <c r="AT150" s="30">
        <v>0</v>
      </c>
      <c r="AU150" s="30">
        <v>0</v>
      </c>
      <c r="AV150" s="30">
        <f>1/7</f>
        <v>0.14285714285714285</v>
      </c>
      <c r="AW150" s="30">
        <f>1/7</f>
        <v>0.14285714285714285</v>
      </c>
      <c r="AX150" s="30">
        <f>3/7</f>
        <v>0.42857142857142855</v>
      </c>
      <c r="AY150" s="30">
        <v>0</v>
      </c>
      <c r="AZ150" s="30">
        <v>0</v>
      </c>
      <c r="BM150" s="31">
        <v>20</v>
      </c>
      <c r="BT150" s="31">
        <v>30</v>
      </c>
    </row>
    <row r="151" spans="1:74" ht="15" customHeight="1" x14ac:dyDescent="0.2">
      <c r="A151" s="6" t="s">
        <v>788</v>
      </c>
      <c r="B151" s="6" t="s">
        <v>744</v>
      </c>
      <c r="AP151" s="30">
        <f>1/8</f>
        <v>0.125</v>
      </c>
      <c r="AQ151" s="30">
        <f>1/8</f>
        <v>0.125</v>
      </c>
      <c r="AR151" s="30">
        <v>0</v>
      </c>
      <c r="AS151" s="30">
        <v>0</v>
      </c>
      <c r="AT151" s="30">
        <f>1/8</f>
        <v>0.125</v>
      </c>
      <c r="AU151" s="30">
        <v>0</v>
      </c>
      <c r="AV151" s="30">
        <f>1/8</f>
        <v>0.125</v>
      </c>
      <c r="AW151" s="30">
        <v>0</v>
      </c>
      <c r="AX151" s="30">
        <f>3/8</f>
        <v>0.375</v>
      </c>
      <c r="AY151" s="30">
        <f>1/8</f>
        <v>0.125</v>
      </c>
      <c r="AZ151" s="30">
        <v>0</v>
      </c>
      <c r="BM151" s="31">
        <v>20</v>
      </c>
      <c r="BQ151" s="31">
        <v>20</v>
      </c>
      <c r="BV151" s="31">
        <v>30</v>
      </c>
    </row>
    <row r="152" spans="1:74" ht="15" customHeight="1" x14ac:dyDescent="0.2">
      <c r="A152" s="32" t="s">
        <v>769</v>
      </c>
      <c r="B152" s="7" t="s">
        <v>745</v>
      </c>
      <c r="AE152" s="30">
        <v>0.5</v>
      </c>
      <c r="AF152" s="30">
        <v>0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0.5</v>
      </c>
      <c r="AM152" s="30">
        <v>0</v>
      </c>
      <c r="AN152" s="30">
        <v>0</v>
      </c>
      <c r="AO152" s="30">
        <v>0</v>
      </c>
    </row>
    <row r="153" spans="1:74" ht="15" customHeight="1" x14ac:dyDescent="0.2">
      <c r="A153" s="32" t="s">
        <v>770</v>
      </c>
      <c r="B153" s="4" t="s">
        <v>746</v>
      </c>
      <c r="AE153" s="30">
        <v>0.25</v>
      </c>
      <c r="AF153" s="30">
        <v>0.25</v>
      </c>
      <c r="AG153" s="30">
        <v>0</v>
      </c>
      <c r="AH153" s="30">
        <v>0</v>
      </c>
      <c r="AI153" s="30">
        <v>0.25</v>
      </c>
      <c r="AJ153" s="30">
        <v>0</v>
      </c>
      <c r="AK153" s="30">
        <v>0</v>
      </c>
      <c r="AL153" s="30">
        <v>0.25</v>
      </c>
      <c r="AM153" s="30">
        <v>0</v>
      </c>
      <c r="AN153" s="30">
        <v>0</v>
      </c>
      <c r="AO153" s="30">
        <v>0</v>
      </c>
      <c r="BB153" s="31">
        <v>20</v>
      </c>
    </row>
    <row r="154" spans="1:74" ht="15" customHeight="1" x14ac:dyDescent="0.2">
      <c r="A154" s="32" t="s">
        <v>771</v>
      </c>
      <c r="B154" s="4" t="s">
        <v>747</v>
      </c>
      <c r="AE154" s="30">
        <v>0.25</v>
      </c>
      <c r="AF154" s="30">
        <v>0.25</v>
      </c>
      <c r="AG154" s="30">
        <v>0</v>
      </c>
      <c r="AH154" s="30">
        <v>0.25</v>
      </c>
      <c r="AI154" s="30">
        <v>0</v>
      </c>
      <c r="AJ154" s="30">
        <v>0</v>
      </c>
      <c r="AK154" s="30">
        <v>0</v>
      </c>
      <c r="AL154" s="30">
        <v>0.25</v>
      </c>
      <c r="AM154" s="30">
        <v>0</v>
      </c>
      <c r="AN154" s="30">
        <v>0</v>
      </c>
      <c r="AO154" s="30">
        <v>0</v>
      </c>
      <c r="BB154" s="31">
        <v>20</v>
      </c>
    </row>
    <row r="155" spans="1:74" ht="15" customHeight="1" x14ac:dyDescent="0.2">
      <c r="A155" s="32" t="s">
        <v>697</v>
      </c>
      <c r="B155" s="4" t="s">
        <v>748</v>
      </c>
      <c r="AE155" s="30">
        <f>1/5</f>
        <v>0.2</v>
      </c>
      <c r="AF155" s="30">
        <v>0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f>1/5</f>
        <v>0.2</v>
      </c>
      <c r="AM155" s="30">
        <f>3/5</f>
        <v>0.6</v>
      </c>
      <c r="AN155" s="30">
        <v>0</v>
      </c>
      <c r="AO155" s="30">
        <v>0</v>
      </c>
      <c r="BI155" s="31">
        <v>30</v>
      </c>
    </row>
    <row r="156" spans="1:74" ht="15" customHeight="1" x14ac:dyDescent="0.2">
      <c r="A156" s="32" t="s">
        <v>763</v>
      </c>
      <c r="B156" s="4" t="s">
        <v>749</v>
      </c>
      <c r="AE156" s="30">
        <v>0.25</v>
      </c>
      <c r="AF156" s="30">
        <v>0</v>
      </c>
      <c r="AG156" s="30">
        <v>0</v>
      </c>
      <c r="AH156" s="30">
        <v>0</v>
      </c>
      <c r="AI156" s="30">
        <v>0.25</v>
      </c>
      <c r="AJ156" s="30">
        <v>0</v>
      </c>
      <c r="AK156" s="30">
        <v>0.25</v>
      </c>
      <c r="AL156" s="30">
        <v>0.25</v>
      </c>
      <c r="AM156" s="30">
        <v>0</v>
      </c>
      <c r="AN156" s="30">
        <v>0</v>
      </c>
      <c r="AO156" s="30">
        <v>0</v>
      </c>
      <c r="BB156" s="31">
        <v>20</v>
      </c>
      <c r="BI156" s="31">
        <v>20</v>
      </c>
    </row>
    <row r="157" spans="1:74" ht="15" customHeight="1" x14ac:dyDescent="0.2">
      <c r="A157" s="32" t="s">
        <v>772</v>
      </c>
      <c r="B157" s="4" t="s">
        <v>750</v>
      </c>
      <c r="AE157" s="30">
        <f>1/6</f>
        <v>0.16666666666666666</v>
      </c>
      <c r="AF157" s="30">
        <v>0</v>
      </c>
      <c r="AG157" s="30">
        <v>0</v>
      </c>
      <c r="AH157" s="30">
        <f>1/6</f>
        <v>0.16666666666666666</v>
      </c>
      <c r="AI157" s="30">
        <v>0</v>
      </c>
      <c r="AJ157" s="30">
        <v>0</v>
      </c>
      <c r="AK157" s="30">
        <v>0</v>
      </c>
      <c r="AL157" s="30">
        <f>1/6</f>
        <v>0.16666666666666666</v>
      </c>
      <c r="AM157" s="30">
        <v>0</v>
      </c>
      <c r="AN157" s="30">
        <v>0</v>
      </c>
      <c r="AO157" s="30">
        <f>3/6</f>
        <v>0.5</v>
      </c>
      <c r="BB157" s="31">
        <v>20</v>
      </c>
      <c r="BI157" s="31">
        <v>70</v>
      </c>
    </row>
    <row r="158" spans="1:74" ht="15" customHeight="1" x14ac:dyDescent="0.2">
      <c r="A158" s="32" t="s">
        <v>764</v>
      </c>
      <c r="B158" s="4" t="s">
        <v>751</v>
      </c>
      <c r="AE158" s="30">
        <f>1/6</f>
        <v>0.16666666666666666</v>
      </c>
      <c r="AF158" s="30">
        <v>0</v>
      </c>
      <c r="AG158" s="30">
        <v>0</v>
      </c>
      <c r="AH158" s="30">
        <v>0</v>
      </c>
      <c r="AI158" s="30">
        <f>1/6</f>
        <v>0.16666666666666666</v>
      </c>
      <c r="AJ158" s="30">
        <v>0</v>
      </c>
      <c r="AK158" s="30">
        <v>0</v>
      </c>
      <c r="AL158" s="30">
        <f>1/6</f>
        <v>0.16666666666666666</v>
      </c>
      <c r="AM158" s="30">
        <v>0</v>
      </c>
      <c r="AN158" s="30">
        <v>0</v>
      </c>
      <c r="AO158" s="30">
        <f>3/6</f>
        <v>0.5</v>
      </c>
      <c r="BB158" s="31">
        <v>20</v>
      </c>
      <c r="BI158" s="31">
        <v>70</v>
      </c>
    </row>
    <row r="159" spans="1:74" ht="15" customHeight="1" x14ac:dyDescent="0.2">
      <c r="A159" s="32" t="s">
        <v>773</v>
      </c>
      <c r="B159" s="4" t="s">
        <v>752</v>
      </c>
      <c r="AE159" s="30">
        <f>2/8</f>
        <v>0.25</v>
      </c>
      <c r="AF159" s="30">
        <v>0</v>
      </c>
      <c r="AG159" s="30">
        <v>0</v>
      </c>
      <c r="AH159" s="30">
        <f>1/8</f>
        <v>0.125</v>
      </c>
      <c r="AI159" s="30">
        <v>0</v>
      </c>
      <c r="AJ159" s="30">
        <v>0</v>
      </c>
      <c r="AK159" s="30">
        <f>1/8</f>
        <v>0.125</v>
      </c>
      <c r="AL159" s="30">
        <f>1/8</f>
        <v>0.125</v>
      </c>
      <c r="AM159" s="30">
        <f>3/8</f>
        <v>0.375</v>
      </c>
      <c r="AN159" s="30">
        <v>0</v>
      </c>
      <c r="AO159" s="30">
        <v>0</v>
      </c>
      <c r="BB159" s="31">
        <v>20</v>
      </c>
      <c r="BE159" s="31">
        <v>20</v>
      </c>
      <c r="BI159" s="31">
        <v>30</v>
      </c>
    </row>
    <row r="160" spans="1:74" ht="15" customHeight="1" x14ac:dyDescent="0.2">
      <c r="A160" s="32" t="s">
        <v>765</v>
      </c>
      <c r="B160" s="4" t="s">
        <v>753</v>
      </c>
      <c r="AE160" s="30">
        <f>1/7</f>
        <v>0.14285714285714285</v>
      </c>
      <c r="AF160" s="30">
        <v>0</v>
      </c>
      <c r="AG160" s="30">
        <v>0</v>
      </c>
      <c r="AH160" s="30">
        <v>0</v>
      </c>
      <c r="AI160" s="30">
        <f>1/7</f>
        <v>0.14285714285714285</v>
      </c>
      <c r="AJ160" s="30">
        <v>0</v>
      </c>
      <c r="AK160" s="30">
        <f>1/7</f>
        <v>0.14285714285714285</v>
      </c>
      <c r="AL160" s="30">
        <f>1/7</f>
        <v>0.14285714285714285</v>
      </c>
      <c r="AM160" s="30">
        <v>0</v>
      </c>
      <c r="AN160" s="30">
        <v>0</v>
      </c>
      <c r="AO160" s="30">
        <f>3/7</f>
        <v>0.42857142857142855</v>
      </c>
      <c r="BF160" s="31">
        <v>20</v>
      </c>
      <c r="BI160" s="31">
        <v>70</v>
      </c>
    </row>
    <row r="161" spans="1:72" ht="15" customHeight="1" x14ac:dyDescent="0.2">
      <c r="A161" s="32" t="s">
        <v>774</v>
      </c>
      <c r="B161" s="4" t="s">
        <v>754</v>
      </c>
      <c r="AP161" s="30">
        <v>0.5</v>
      </c>
      <c r="AQ161" s="30">
        <v>0</v>
      </c>
      <c r="AR161" s="30">
        <v>0</v>
      </c>
      <c r="AS161" s="30">
        <v>0</v>
      </c>
      <c r="AT161" s="30">
        <v>0</v>
      </c>
      <c r="AU161" s="30">
        <v>0</v>
      </c>
      <c r="AV161" s="30">
        <v>0</v>
      </c>
      <c r="AW161" s="30">
        <v>0.5</v>
      </c>
      <c r="AX161" s="30">
        <v>0</v>
      </c>
      <c r="AY161" s="30">
        <v>0</v>
      </c>
      <c r="AZ161" s="30">
        <v>0</v>
      </c>
    </row>
    <row r="162" spans="1:72" ht="15" customHeight="1" x14ac:dyDescent="0.2">
      <c r="A162" s="32" t="s">
        <v>775</v>
      </c>
      <c r="B162" s="4" t="s">
        <v>755</v>
      </c>
      <c r="AP162" s="30">
        <v>0.25</v>
      </c>
      <c r="AQ162" s="30">
        <v>0.25</v>
      </c>
      <c r="AR162" s="30">
        <v>0</v>
      </c>
      <c r="AS162" s="30">
        <v>0</v>
      </c>
      <c r="AT162" s="30">
        <v>0.25</v>
      </c>
      <c r="AU162" s="30">
        <v>0</v>
      </c>
      <c r="AV162" s="30">
        <v>0</v>
      </c>
      <c r="AW162" s="30">
        <v>0.25</v>
      </c>
      <c r="AX162" s="30">
        <v>0</v>
      </c>
      <c r="AY162" s="30">
        <v>0</v>
      </c>
      <c r="AZ162" s="30">
        <v>0</v>
      </c>
      <c r="BM162" s="31">
        <v>20</v>
      </c>
    </row>
    <row r="163" spans="1:72" ht="15" customHeight="1" x14ac:dyDescent="0.2">
      <c r="A163" s="32" t="s">
        <v>776</v>
      </c>
      <c r="B163" s="4" t="s">
        <v>756</v>
      </c>
      <c r="AP163" s="30">
        <v>0.25</v>
      </c>
      <c r="AQ163" s="30">
        <v>0.25</v>
      </c>
      <c r="AR163" s="30">
        <v>0</v>
      </c>
      <c r="AS163" s="30">
        <v>0.25</v>
      </c>
      <c r="AT163" s="30">
        <v>0</v>
      </c>
      <c r="AU163" s="30">
        <v>0</v>
      </c>
      <c r="AV163" s="30">
        <v>0</v>
      </c>
      <c r="AW163" s="30">
        <v>0.25</v>
      </c>
      <c r="AX163" s="30">
        <v>0</v>
      </c>
      <c r="AY163" s="30">
        <v>0</v>
      </c>
      <c r="AZ163" s="30">
        <v>0</v>
      </c>
      <c r="BM163" s="31">
        <v>20</v>
      </c>
    </row>
    <row r="164" spans="1:72" ht="15" customHeight="1" x14ac:dyDescent="0.2">
      <c r="A164" s="32" t="s">
        <v>715</v>
      </c>
      <c r="B164" s="4" t="s">
        <v>757</v>
      </c>
      <c r="AP164" s="30">
        <f>1/5</f>
        <v>0.2</v>
      </c>
      <c r="AQ164" s="30">
        <v>0</v>
      </c>
      <c r="AR164" s="30">
        <v>0</v>
      </c>
      <c r="AS164" s="30">
        <v>0</v>
      </c>
      <c r="AT164" s="30">
        <v>0</v>
      </c>
      <c r="AU164" s="30">
        <v>0</v>
      </c>
      <c r="AV164" s="30">
        <v>0</v>
      </c>
      <c r="AW164" s="30">
        <f>1/5</f>
        <v>0.2</v>
      </c>
      <c r="AX164" s="30">
        <f>3/5</f>
        <v>0.6</v>
      </c>
      <c r="AY164" s="30">
        <v>0</v>
      </c>
      <c r="AZ164" s="30">
        <v>0</v>
      </c>
      <c r="BT164" s="31">
        <v>30</v>
      </c>
    </row>
    <row r="165" spans="1:72" ht="15" customHeight="1" x14ac:dyDescent="0.2">
      <c r="A165" s="32" t="s">
        <v>766</v>
      </c>
      <c r="B165" s="4" t="s">
        <v>758</v>
      </c>
      <c r="AP165" s="30">
        <v>0.25</v>
      </c>
      <c r="AQ165" s="30">
        <v>0</v>
      </c>
      <c r="AR165" s="30">
        <v>0</v>
      </c>
      <c r="AS165" s="30">
        <v>0</v>
      </c>
      <c r="AT165" s="30">
        <v>0.25</v>
      </c>
      <c r="AU165" s="30">
        <v>0</v>
      </c>
      <c r="AV165" s="30">
        <v>0.25</v>
      </c>
      <c r="AW165" s="30">
        <v>0.25</v>
      </c>
      <c r="AX165" s="30">
        <v>0</v>
      </c>
      <c r="AY165" s="30">
        <v>0</v>
      </c>
      <c r="AZ165" s="30">
        <v>0</v>
      </c>
      <c r="BM165" s="31">
        <v>20</v>
      </c>
      <c r="BT165" s="31">
        <v>20</v>
      </c>
    </row>
    <row r="166" spans="1:72" ht="15" customHeight="1" x14ac:dyDescent="0.2">
      <c r="A166" s="32" t="s">
        <v>777</v>
      </c>
      <c r="B166" s="4" t="s">
        <v>759</v>
      </c>
      <c r="AP166" s="30">
        <f>1/6</f>
        <v>0.16666666666666666</v>
      </c>
      <c r="AQ166" s="30">
        <v>0</v>
      </c>
      <c r="AR166" s="30">
        <v>0</v>
      </c>
      <c r="AS166" s="30">
        <f>1/6</f>
        <v>0.16666666666666666</v>
      </c>
      <c r="AT166" s="30">
        <v>0</v>
      </c>
      <c r="AU166" s="30">
        <v>0</v>
      </c>
      <c r="AV166" s="30">
        <v>0</v>
      </c>
      <c r="AW166" s="30">
        <f>1/6</f>
        <v>0.16666666666666666</v>
      </c>
      <c r="AX166" s="30">
        <v>0</v>
      </c>
      <c r="AY166" s="30">
        <v>0</v>
      </c>
      <c r="AZ166" s="30">
        <f>3/6</f>
        <v>0.5</v>
      </c>
      <c r="BM166" s="31">
        <v>20</v>
      </c>
      <c r="BT166" s="31">
        <v>70</v>
      </c>
    </row>
    <row r="167" spans="1:72" ht="15" customHeight="1" x14ac:dyDescent="0.2">
      <c r="A167" s="32" t="s">
        <v>778</v>
      </c>
      <c r="B167" s="4" t="s">
        <v>760</v>
      </c>
      <c r="AP167" s="30">
        <f>1/6</f>
        <v>0.16666666666666666</v>
      </c>
      <c r="AQ167" s="30">
        <v>0</v>
      </c>
      <c r="AR167" s="30">
        <v>0</v>
      </c>
      <c r="AS167" s="30">
        <v>0</v>
      </c>
      <c r="AT167" s="30">
        <f>1/6</f>
        <v>0.16666666666666666</v>
      </c>
      <c r="AU167" s="30">
        <v>0</v>
      </c>
      <c r="AV167" s="30">
        <v>0</v>
      </c>
      <c r="AW167" s="30">
        <f>1/6</f>
        <v>0.16666666666666666</v>
      </c>
      <c r="AX167" s="30">
        <v>0</v>
      </c>
      <c r="AY167" s="30">
        <v>0</v>
      </c>
      <c r="AZ167" s="30">
        <f>3/6</f>
        <v>0.5</v>
      </c>
      <c r="BM167" s="31">
        <v>20</v>
      </c>
      <c r="BT167" s="31">
        <v>70</v>
      </c>
    </row>
    <row r="168" spans="1:72" ht="15" customHeight="1" x14ac:dyDescent="0.2">
      <c r="A168" s="32" t="s">
        <v>768</v>
      </c>
      <c r="B168" s="4" t="s">
        <v>761</v>
      </c>
      <c r="AP168" s="30">
        <f>2/8</f>
        <v>0.25</v>
      </c>
      <c r="AQ168" s="30">
        <v>0</v>
      </c>
      <c r="AR168" s="30">
        <v>0</v>
      </c>
      <c r="AS168" s="30">
        <f>1/8</f>
        <v>0.125</v>
      </c>
      <c r="AT168" s="30">
        <v>0</v>
      </c>
      <c r="AU168" s="30">
        <v>0</v>
      </c>
      <c r="AV168" s="30">
        <f>1/8</f>
        <v>0.125</v>
      </c>
      <c r="AW168" s="30">
        <f>1/8</f>
        <v>0.125</v>
      </c>
      <c r="AX168" s="30">
        <f>3/8</f>
        <v>0.375</v>
      </c>
      <c r="AY168" s="30">
        <v>0</v>
      </c>
      <c r="AZ168" s="30">
        <v>0</v>
      </c>
      <c r="BM168" s="31">
        <v>20</v>
      </c>
      <c r="BP168" s="31">
        <v>20</v>
      </c>
      <c r="BT168" s="31">
        <v>30</v>
      </c>
    </row>
    <row r="169" spans="1:72" ht="15" customHeight="1" x14ac:dyDescent="0.2">
      <c r="A169" s="33" t="s">
        <v>767</v>
      </c>
      <c r="B169" s="6" t="s">
        <v>762</v>
      </c>
      <c r="AP169" s="30">
        <f>1/7</f>
        <v>0.14285714285714285</v>
      </c>
      <c r="AQ169" s="30">
        <v>0</v>
      </c>
      <c r="AR169" s="30">
        <v>0</v>
      </c>
      <c r="AS169" s="30">
        <v>0</v>
      </c>
      <c r="AT169" s="30">
        <f>1/7</f>
        <v>0.14285714285714285</v>
      </c>
      <c r="AU169" s="30">
        <v>0</v>
      </c>
      <c r="AV169" s="30">
        <f>1/7</f>
        <v>0.14285714285714285</v>
      </c>
      <c r="AW169" s="30">
        <f>1/7</f>
        <v>0.14285714285714285</v>
      </c>
      <c r="AX169" s="30">
        <v>0</v>
      </c>
      <c r="AY169" s="30">
        <v>0</v>
      </c>
      <c r="AZ169" s="30">
        <f>3/7</f>
        <v>0.42857142857142855</v>
      </c>
      <c r="BQ169" s="31">
        <v>20</v>
      </c>
      <c r="BT169" s="31">
        <v>70</v>
      </c>
    </row>
  </sheetData>
  <sheetProtection formatCells="0"/>
  <conditionalFormatting sqref="D3:CU169">
    <cfRule type="notContainsBlanks" dxfId="1" priority="45">
      <formula>LEN(TRIM(D3))&gt;0</formula>
    </cfRule>
    <cfRule type="containsBlanks" dxfId="0" priority="44">
      <formula>LEN(TRIM(D3))=0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9"/>
  <sheetViews>
    <sheetView showGridLines="0" zoomScale="80" zoomScaleNormal="80" workbookViewId="0">
      <pane xSplit="3" ySplit="2" topLeftCell="D3" activePane="bottomRight" state="frozenSplit"/>
      <selection pane="topRight" activeCell="E1" sqref="E1"/>
      <selection pane="bottomLeft" activeCell="A16" sqref="A16"/>
      <selection pane="bottomRight" activeCell="D3" sqref="D3"/>
    </sheetView>
  </sheetViews>
  <sheetFormatPr baseColWidth="10" defaultColWidth="11.25" defaultRowHeight="15" customHeight="1" x14ac:dyDescent="0.2"/>
  <cols>
    <col min="1" max="1" width="33.125" style="1" customWidth="1"/>
    <col min="2" max="3" width="9.375" style="1" customWidth="1"/>
    <col min="4" max="9" width="11.25" style="1"/>
    <col min="10" max="12" width="11.25" style="3"/>
    <col min="13" max="42" width="11.25" style="2"/>
    <col min="43" max="16384" width="11.25" style="1"/>
  </cols>
  <sheetData>
    <row r="1" spans="1:42" ht="15" customHeight="1" x14ac:dyDescent="0.2">
      <c r="C1" s="1" t="s">
        <v>0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3" t="s">
        <v>229</v>
      </c>
      <c r="K1" s="3" t="s">
        <v>230</v>
      </c>
      <c r="L1" s="3" t="s">
        <v>231</v>
      </c>
      <c r="M1" s="3" t="s">
        <v>232</v>
      </c>
      <c r="N1" s="3" t="s">
        <v>233</v>
      </c>
      <c r="O1" s="3" t="s">
        <v>234</v>
      </c>
      <c r="P1" s="3" t="s">
        <v>235</v>
      </c>
      <c r="Q1" s="3" t="s">
        <v>236</v>
      </c>
      <c r="R1" s="3" t="s">
        <v>237</v>
      </c>
      <c r="S1" s="3" t="s">
        <v>238</v>
      </c>
      <c r="T1" s="3" t="s">
        <v>239</v>
      </c>
      <c r="U1" s="3" t="s">
        <v>240</v>
      </c>
      <c r="V1" s="3" t="s">
        <v>241</v>
      </c>
      <c r="W1" s="3" t="s">
        <v>242</v>
      </c>
      <c r="X1" s="2" t="s">
        <v>243</v>
      </c>
      <c r="Y1" s="3" t="s">
        <v>244</v>
      </c>
      <c r="Z1" s="3" t="s">
        <v>245</v>
      </c>
      <c r="AA1" s="2" t="s">
        <v>246</v>
      </c>
      <c r="AB1" s="2" t="s">
        <v>247</v>
      </c>
      <c r="AC1" s="2" t="s">
        <v>248</v>
      </c>
      <c r="AD1" s="2" t="s">
        <v>249</v>
      </c>
      <c r="AE1" s="2" t="s">
        <v>250</v>
      </c>
      <c r="AF1" s="2" t="s">
        <v>251</v>
      </c>
      <c r="AG1" s="2" t="s">
        <v>252</v>
      </c>
      <c r="AH1" s="2" t="s">
        <v>680</v>
      </c>
      <c r="AI1" s="2" t="s">
        <v>681</v>
      </c>
      <c r="AJ1" s="2" t="s">
        <v>682</v>
      </c>
      <c r="AK1" s="2" t="s">
        <v>253</v>
      </c>
      <c r="AL1" s="2" t="s">
        <v>254</v>
      </c>
      <c r="AM1" s="2" t="s">
        <v>255</v>
      </c>
      <c r="AN1" s="2" t="s">
        <v>256</v>
      </c>
      <c r="AO1" s="2" t="s">
        <v>257</v>
      </c>
      <c r="AP1" s="2" t="s">
        <v>258</v>
      </c>
    </row>
    <row r="2" spans="1:42" ht="15" customHeight="1" x14ac:dyDescent="0.2">
      <c r="A2" s="1" t="s">
        <v>2</v>
      </c>
      <c r="B2" s="1" t="s">
        <v>3</v>
      </c>
      <c r="C2" s="1" t="s">
        <v>1</v>
      </c>
      <c r="D2" s="1" t="str">
        <f>INDEX([1]indicators!$I$2:$I$1491,MATCH(D$1,[1]indicators!$C$2:$C$1491,0),1)</f>
        <v>indCr55.UAA1</v>
      </c>
      <c r="E2" s="1" t="str">
        <f>INDEX([1]indicators!$I$2:$I$1491,MATCH(E$1,[1]indicators!$C$2:$C$1491,0),1)</f>
        <v>indCr55.UAA2</v>
      </c>
      <c r="F2" s="1" t="str">
        <f>INDEX([1]indicators!$I$2:$I$1491,MATCH(F$1,[1]indicators!$C$2:$C$1491,0),1)</f>
        <v>indCr56</v>
      </c>
      <c r="G2" s="1" t="str">
        <f>INDEX([1]indicators!$I$2:$I$1491,MATCH(G$1,[1]indicators!$C$2:$C$1491,0),1)</f>
        <v>indCr57.UAA1</v>
      </c>
      <c r="H2" s="1" t="str">
        <f>INDEX([1]indicators!$I$2:$I$1491,MATCH(H$1,[1]indicators!$C$2:$C$1491,0),1)</f>
        <v>indCr57.UAA2</v>
      </c>
      <c r="I2" s="1" t="str">
        <f>INDEX([1]indicators!$I$2:$I$1491,MATCH(I$1,[1]indicators!$C$2:$C$1491,0),1)</f>
        <v>indCr58</v>
      </c>
      <c r="J2" s="1" t="str">
        <f>INDEX([1]indicators!$I$2:$I$1491,MATCH(J$1,[1]indicators!$C$2:$C$1491,0),1)</f>
        <v>indCr59.UAA1</v>
      </c>
      <c r="K2" s="1" t="str">
        <f>INDEX([1]indicators!$I$2:$I$1491,MATCH(K$1,[1]indicators!$C$2:$C$1491,0),1)</f>
        <v>indCr59.UAA2</v>
      </c>
      <c r="L2" s="1" t="str">
        <f>INDEX([1]indicators!$I$2:$I$1491,MATCH(L$1,[1]indicators!$C$2:$C$1491,0),1)</f>
        <v>indCr60</v>
      </c>
      <c r="M2" s="1" t="str">
        <f>INDEX([1]indicators!$I$2:$I$1491,MATCH(M$1,[1]indicators!$C$2:$C$1491,0),1)</f>
        <v>indCr61.UAA1</v>
      </c>
      <c r="N2" s="1" t="str">
        <f>INDEX([1]indicators!$I$2:$I$1491,MATCH(N$1,[1]indicators!$C$2:$C$1491,0),1)</f>
        <v>indCr61.UAA2</v>
      </c>
      <c r="O2" s="1" t="str">
        <f>INDEX([1]indicators!$I$2:$I$1491,MATCH(O$1,[1]indicators!$C$2:$C$1491,0),1)</f>
        <v>indCr62</v>
      </c>
      <c r="P2" s="1" t="str">
        <f>INDEX([1]indicators!$I$2:$I$1491,MATCH(P$1,[1]indicators!$C$2:$C$1491,0),1)</f>
        <v>indCr63.UAA1</v>
      </c>
      <c r="Q2" s="1" t="str">
        <f>INDEX([1]indicators!$I$2:$I$1491,MATCH(Q$1,[1]indicators!$C$2:$C$1491,0),1)</f>
        <v>indCr63.UAA2</v>
      </c>
      <c r="R2" s="1" t="str">
        <f>INDEX([1]indicators!$I$2:$I$1491,MATCH(R$1,[1]indicators!$C$2:$C$1491,0),1)</f>
        <v>indCr64</v>
      </c>
      <c r="S2" s="1" t="str">
        <f>INDEX([1]indicators!$I$2:$I$1491,MATCH(S$1,[1]indicators!$C$2:$C$1491,0),1)</f>
        <v>indCr65.UAA1</v>
      </c>
      <c r="T2" s="1" t="str">
        <f>INDEX([1]indicators!$I$2:$I$1491,MATCH(T$1,[1]indicators!$C$2:$C$1491,0),1)</f>
        <v>indCr65.UAA2</v>
      </c>
      <c r="U2" s="1" t="str">
        <f>INDEX([1]indicators!$I$2:$I$1491,MATCH(U$1,[1]indicators!$C$2:$C$1491,0),1)</f>
        <v>indCr66</v>
      </c>
      <c r="V2" s="2" t="str">
        <f>INDEX([1]indicators!$I$2:$I$1491,MATCH(V$1,[1]indicators!$C$2:$C$1491,0),1)</f>
        <v>indCr67.UAA1</v>
      </c>
      <c r="W2" s="2" t="str">
        <f>INDEX([1]indicators!$I$2:$I$1491,MATCH(W$1,[1]indicators!$C$2:$C$1491,0),1)</f>
        <v>indCr67.UAA2</v>
      </c>
      <c r="X2" s="2" t="str">
        <f>INDEX([1]indicators!$I$2:$I$1491,MATCH(X$1,[1]indicators!$C$2:$C$1491,0),1)</f>
        <v>indCr68</v>
      </c>
      <c r="Y2" s="2" t="str">
        <f>INDEX([1]indicators!$I$2:$I$1491,MATCH(Y$1,[1]indicators!$C$2:$C$1491,0),1)</f>
        <v>indCr69.UAA1</v>
      </c>
      <c r="Z2" s="2" t="str">
        <f>INDEX([1]indicators!$I$2:$I$1491,MATCH(Z$1,[1]indicators!$C$2:$C$1491,0),1)</f>
        <v>indCr69.UAA2</v>
      </c>
      <c r="AA2" s="2" t="str">
        <f>INDEX([1]indicators!$I$2:$I$1491,MATCH(AA$1,[1]indicators!$C$2:$C$1491,0),1)</f>
        <v>indCr70</v>
      </c>
      <c r="AB2" s="2" t="str">
        <f>INDEX([1]indicators!$I$2:$I$1491,MATCH(AB$1,[1]indicators!$C$2:$C$1491,0),1)</f>
        <v>indCr71.UAA1</v>
      </c>
      <c r="AC2" s="2" t="str">
        <f>INDEX([1]indicators!$I$2:$I$1491,MATCH(AC$1,[1]indicators!$C$2:$C$1491,0),1)</f>
        <v>indCr71.UAA2</v>
      </c>
      <c r="AD2" s="2" t="str">
        <f>INDEX([1]indicators!$I$2:$I$1491,MATCH(AD$1,[1]indicators!$C$2:$C$1491,0),1)</f>
        <v>indCr72</v>
      </c>
      <c r="AE2" s="2" t="str">
        <f>INDEX([1]indicators!$I$2:$I$1491,MATCH(AE$1,[1]indicators!$C$2:$C$1491,0),1)</f>
        <v>indCr73.UAA1</v>
      </c>
      <c r="AF2" s="2" t="str">
        <f>INDEX([1]indicators!$I$2:$I$1491,MATCH(AF$1,[1]indicators!$C$2:$C$1491,0),1)</f>
        <v>indCr73.UAA2</v>
      </c>
      <c r="AG2" s="2" t="str">
        <f>INDEX([1]indicators!$I$2:$I$1491,MATCH(AG$1,[1]indicators!$C$2:$C$1491,0),1)</f>
        <v>indCr74</v>
      </c>
      <c r="AH2" s="2" t="str">
        <f>INDEX([1]indicators!$I$2:$I$1491,MATCH(AH$1,[1]indicators!$C$2:$C$1491,0),1)</f>
        <v>indCr75.UAA1</v>
      </c>
      <c r="AI2" s="2" t="str">
        <f>INDEX([1]indicators!$I$2:$I$1491,MATCH(AI$1,[1]indicators!$C$2:$C$1491,0),1)</f>
        <v>indCr75.UAA2</v>
      </c>
      <c r="AJ2" s="2" t="str">
        <f>INDEX([1]indicators!$I$2:$I$1491,MATCH(AJ$1,[1]indicators!$C$2:$C$1491,0),1)</f>
        <v>indCr76</v>
      </c>
      <c r="AK2" s="2" t="str">
        <f>INDEX([1]indicators!$I$2:$I$1491,MATCH(AK$1,[1]indicators!$C$2:$C$1491,0),1)</f>
        <v>indCr233.UAA1</v>
      </c>
      <c r="AL2" s="2" t="str">
        <f>INDEX([1]indicators!$I$2:$I$1491,MATCH(AL$1,[1]indicators!$C$2:$C$1491,0),1)</f>
        <v>indCr233.UAA2</v>
      </c>
      <c r="AM2" s="2" t="str">
        <f>INDEX([1]indicators!$I$2:$I$1491,MATCH(AM$1,[1]indicators!$C$2:$C$1491,0),1)</f>
        <v>indCr234</v>
      </c>
      <c r="AN2" s="2" t="str">
        <f>INDEX([1]indicators!$I$2:$I$1491,MATCH(AN$1,[1]indicators!$C$2:$C$1491,0),1)</f>
        <v>indCr235.UAA1</v>
      </c>
      <c r="AO2" s="2" t="str">
        <f>INDEX([1]indicators!$I$2:$I$1491,MATCH(AO$1,[1]indicators!$C$2:$C$1491,0),1)</f>
        <v>indCr235.UAA2</v>
      </c>
      <c r="AP2" s="2" t="str">
        <f>INDEX([1]indicators!$I$2:$I$1491,MATCH(AP$1,[1]indicators!$C$2:$C$1491,0),1)</f>
        <v>indCr236</v>
      </c>
    </row>
    <row r="3" spans="1:42" ht="15" customHeight="1" x14ac:dyDescent="0.2">
      <c r="A3" s="4" t="str">
        <f>crop!A3</f>
        <v>Conventional tillage (CT)</v>
      </c>
      <c r="B3" s="4" t="str">
        <f>crop!B3</f>
        <v>C.1.1</v>
      </c>
      <c r="C3" s="5"/>
      <c r="D3" s="16">
        <v>0.9</v>
      </c>
      <c r="E3" s="16">
        <v>0.9</v>
      </c>
      <c r="F3" s="17"/>
      <c r="G3" s="19">
        <v>-1</v>
      </c>
      <c r="H3" s="19">
        <v>-1</v>
      </c>
      <c r="I3" s="17"/>
      <c r="J3" s="16">
        <v>0.8</v>
      </c>
      <c r="K3" s="16">
        <v>0.8</v>
      </c>
      <c r="L3" s="17"/>
      <c r="M3" s="19">
        <v>-1</v>
      </c>
      <c r="N3" s="19">
        <v>-1</v>
      </c>
      <c r="O3" s="17"/>
      <c r="P3" s="16"/>
      <c r="Q3" s="16"/>
      <c r="R3" s="17"/>
      <c r="S3" s="17"/>
      <c r="T3" s="17"/>
      <c r="U3" s="17"/>
      <c r="V3" s="19">
        <v>-0.5</v>
      </c>
      <c r="W3" s="19">
        <v>-0.5</v>
      </c>
      <c r="X3" s="17"/>
      <c r="Y3" s="19">
        <v>-1</v>
      </c>
      <c r="Z3" s="19">
        <v>-1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1:42" ht="15" customHeight="1" x14ac:dyDescent="0.2">
      <c r="A4" s="4" t="str">
        <f>crop!A4</f>
        <v>Reduced tillage (RT)</v>
      </c>
      <c r="B4" s="4" t="str">
        <f>crop!B4</f>
        <v>C.1.2</v>
      </c>
      <c r="C4" s="18"/>
      <c r="D4" s="16">
        <v>1.01</v>
      </c>
      <c r="E4" s="16">
        <v>1.01</v>
      </c>
      <c r="F4" s="17"/>
      <c r="G4" s="19">
        <v>1</v>
      </c>
      <c r="H4" s="19">
        <v>1</v>
      </c>
      <c r="I4" s="17"/>
      <c r="J4" s="16">
        <v>1.1000000000000001</v>
      </c>
      <c r="K4" s="16">
        <v>1.1000000000000001</v>
      </c>
      <c r="L4" s="17"/>
      <c r="M4" s="19">
        <v>1</v>
      </c>
      <c r="N4" s="19">
        <v>1</v>
      </c>
      <c r="O4" s="17"/>
      <c r="P4" s="16">
        <v>1.01</v>
      </c>
      <c r="Q4" s="16">
        <v>1.01</v>
      </c>
      <c r="R4" s="17"/>
      <c r="S4" s="17"/>
      <c r="T4" s="17"/>
      <c r="U4" s="17"/>
      <c r="V4" s="19">
        <v>-0.5</v>
      </c>
      <c r="W4" s="19">
        <v>-0.5</v>
      </c>
      <c r="X4" s="17"/>
      <c r="Y4" s="19">
        <v>1</v>
      </c>
      <c r="Z4" s="19">
        <v>1</v>
      </c>
      <c r="AA4" s="17"/>
      <c r="AB4" s="17"/>
      <c r="AC4" s="17"/>
      <c r="AD4" s="17"/>
      <c r="AE4" s="17"/>
      <c r="AF4" s="17"/>
      <c r="AG4" s="17"/>
      <c r="AH4" s="19">
        <v>0.5</v>
      </c>
      <c r="AI4" s="19">
        <v>0.5</v>
      </c>
      <c r="AJ4" s="17"/>
      <c r="AK4" s="17"/>
      <c r="AL4" s="17"/>
      <c r="AM4" s="17"/>
      <c r="AN4" s="17"/>
      <c r="AO4" s="17"/>
      <c r="AP4" s="17"/>
    </row>
    <row r="5" spans="1:42" ht="15" customHeight="1" x14ac:dyDescent="0.2">
      <c r="A5" s="6" t="str">
        <f>crop!A5</f>
        <v>No tillage (NT)</v>
      </c>
      <c r="B5" s="6" t="str">
        <f>crop!B5</f>
        <v>C.1.3</v>
      </c>
      <c r="C5" s="18"/>
      <c r="D5" s="16">
        <v>1.05</v>
      </c>
      <c r="E5" s="16">
        <v>1.05</v>
      </c>
      <c r="F5" s="17"/>
      <c r="G5" s="19">
        <v>2</v>
      </c>
      <c r="H5" s="19">
        <v>2</v>
      </c>
      <c r="I5" s="17"/>
      <c r="J5" s="16">
        <v>1.2</v>
      </c>
      <c r="K5" s="16">
        <v>1.2</v>
      </c>
      <c r="L5" s="17"/>
      <c r="M5" s="19">
        <v>2</v>
      </c>
      <c r="N5" s="19">
        <v>2</v>
      </c>
      <c r="O5" s="17"/>
      <c r="P5" s="16">
        <v>1.03</v>
      </c>
      <c r="Q5" s="16">
        <v>1.03</v>
      </c>
      <c r="R5" s="17"/>
      <c r="S5" s="17"/>
      <c r="T5" s="17"/>
      <c r="U5" s="17"/>
      <c r="V5" s="19">
        <v>1</v>
      </c>
      <c r="W5" s="19">
        <v>1</v>
      </c>
      <c r="X5" s="17"/>
      <c r="Y5" s="19">
        <v>1</v>
      </c>
      <c r="Z5" s="19">
        <v>1</v>
      </c>
      <c r="AA5" s="17"/>
      <c r="AB5" s="17"/>
      <c r="AC5" s="17"/>
      <c r="AD5" s="17"/>
      <c r="AE5" s="19">
        <v>0.5</v>
      </c>
      <c r="AF5" s="19">
        <v>0.5</v>
      </c>
      <c r="AG5" s="17"/>
      <c r="AH5" s="19">
        <v>1</v>
      </c>
      <c r="AI5" s="19">
        <v>1</v>
      </c>
      <c r="AJ5" s="17"/>
      <c r="AK5" s="17"/>
      <c r="AL5" s="17"/>
      <c r="AM5" s="17"/>
      <c r="AN5" s="17"/>
      <c r="AO5" s="17"/>
      <c r="AP5" s="17"/>
    </row>
    <row r="6" spans="1:42" ht="15" customHeight="1" x14ac:dyDescent="0.2">
      <c r="A6" s="7" t="str">
        <f>crop!A6</f>
        <v>Fall cover crop destructed before winter</v>
      </c>
      <c r="B6" s="7" t="str">
        <f>crop!B6</f>
        <v>C.2.1</v>
      </c>
      <c r="C6" s="18"/>
      <c r="D6" s="16"/>
      <c r="E6" s="16"/>
      <c r="F6" s="17"/>
      <c r="G6" s="19"/>
      <c r="H6" s="19"/>
      <c r="I6" s="17"/>
      <c r="J6" s="16">
        <v>0.9</v>
      </c>
      <c r="K6" s="16">
        <v>0.9</v>
      </c>
      <c r="L6" s="17"/>
      <c r="M6" s="17"/>
      <c r="N6" s="17"/>
      <c r="O6" s="17"/>
      <c r="P6" s="16"/>
      <c r="Q6" s="16"/>
      <c r="R6" s="17"/>
      <c r="S6" s="17"/>
      <c r="T6" s="17"/>
      <c r="U6" s="17"/>
      <c r="V6" s="19">
        <v>1</v>
      </c>
      <c r="W6" s="19">
        <v>1</v>
      </c>
      <c r="X6" s="17"/>
      <c r="Y6" s="17"/>
      <c r="Z6" s="17"/>
      <c r="AA6" s="17"/>
      <c r="AB6" s="19"/>
      <c r="AC6" s="19"/>
      <c r="AD6" s="17"/>
      <c r="AE6" s="19"/>
      <c r="AF6" s="19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spans="1:42" ht="15" customHeight="1" x14ac:dyDescent="0.2">
      <c r="A7" s="4" t="str">
        <f>crop!A7</f>
        <v>Fall cover crop destructed early spring</v>
      </c>
      <c r="B7" s="4" t="str">
        <f>crop!B7</f>
        <v>C.2.2</v>
      </c>
      <c r="C7" s="18"/>
      <c r="D7" s="16">
        <v>1.05</v>
      </c>
      <c r="E7" s="16">
        <v>1.05</v>
      </c>
      <c r="F7" s="17"/>
      <c r="G7" s="19">
        <v>1</v>
      </c>
      <c r="H7" s="19">
        <v>1</v>
      </c>
      <c r="I7" s="17"/>
      <c r="J7" s="16">
        <v>1.05</v>
      </c>
      <c r="K7" s="16">
        <v>1.05</v>
      </c>
      <c r="L7" s="17"/>
      <c r="M7" s="19">
        <v>1</v>
      </c>
      <c r="N7" s="19">
        <v>1</v>
      </c>
      <c r="O7" s="17"/>
      <c r="P7" s="16"/>
      <c r="Q7" s="16"/>
      <c r="R7" s="17"/>
      <c r="S7" s="17"/>
      <c r="T7" s="17"/>
      <c r="U7" s="17"/>
      <c r="V7" s="19">
        <v>1</v>
      </c>
      <c r="W7" s="19">
        <v>1</v>
      </c>
      <c r="X7" s="17"/>
      <c r="Y7" s="17"/>
      <c r="Z7" s="17"/>
      <c r="AA7" s="17"/>
      <c r="AB7" s="19"/>
      <c r="AC7" s="19"/>
      <c r="AD7" s="17"/>
      <c r="AE7" s="19"/>
      <c r="AF7" s="19"/>
      <c r="AG7" s="17"/>
      <c r="AH7" s="19">
        <v>0.5</v>
      </c>
      <c r="AI7" s="19">
        <v>0.5</v>
      </c>
      <c r="AJ7" s="17"/>
      <c r="AK7" s="17"/>
      <c r="AL7" s="17"/>
      <c r="AM7" s="17"/>
      <c r="AN7" s="16">
        <v>0.5</v>
      </c>
      <c r="AO7" s="16">
        <v>0.5</v>
      </c>
      <c r="AP7" s="17"/>
    </row>
    <row r="8" spans="1:42" ht="15" customHeight="1" x14ac:dyDescent="0.2">
      <c r="A8" s="6" t="str">
        <f>crop!A8</f>
        <v>Permanent soil cover</v>
      </c>
      <c r="B8" s="6" t="str">
        <f>crop!B8</f>
        <v>C.2.3</v>
      </c>
      <c r="C8" s="18"/>
      <c r="D8" s="16">
        <v>1.1000000000000001</v>
      </c>
      <c r="E8" s="16">
        <v>1.1000000000000001</v>
      </c>
      <c r="F8" s="17"/>
      <c r="G8" s="19">
        <v>2</v>
      </c>
      <c r="H8" s="19">
        <v>2</v>
      </c>
      <c r="I8" s="17"/>
      <c r="J8" s="16">
        <v>1.1000000000000001</v>
      </c>
      <c r="K8" s="16">
        <v>1.1000000000000001</v>
      </c>
      <c r="L8" s="17"/>
      <c r="M8" s="19">
        <v>2</v>
      </c>
      <c r="N8" s="19">
        <v>2</v>
      </c>
      <c r="O8" s="17"/>
      <c r="P8" s="16"/>
      <c r="Q8" s="16"/>
      <c r="R8" s="17"/>
      <c r="S8" s="19">
        <v>1</v>
      </c>
      <c r="T8" s="19">
        <v>1</v>
      </c>
      <c r="U8" s="17"/>
      <c r="V8" s="19">
        <v>2</v>
      </c>
      <c r="W8" s="19">
        <v>2</v>
      </c>
      <c r="X8" s="17"/>
      <c r="Y8" s="17"/>
      <c r="Z8" s="17"/>
      <c r="AA8" s="17"/>
      <c r="AB8" s="19"/>
      <c r="AC8" s="19"/>
      <c r="AD8" s="17"/>
      <c r="AE8" s="19"/>
      <c r="AF8" s="19"/>
      <c r="AG8" s="17"/>
      <c r="AH8" s="19">
        <v>2</v>
      </c>
      <c r="AI8" s="19">
        <v>2</v>
      </c>
      <c r="AJ8" s="17"/>
      <c r="AK8" s="17"/>
      <c r="AL8" s="17"/>
      <c r="AM8" s="17"/>
      <c r="AN8" s="16">
        <v>1</v>
      </c>
      <c r="AO8" s="16">
        <v>1</v>
      </c>
      <c r="AP8" s="17"/>
    </row>
    <row r="9" spans="1:42" ht="15" customHeight="1" x14ac:dyDescent="0.2">
      <c r="A9" s="7" t="str">
        <f>crop!A9</f>
        <v>Straw removal</v>
      </c>
      <c r="B9" s="7" t="str">
        <f>crop!B9</f>
        <v>C.3.1</v>
      </c>
      <c r="C9" s="18"/>
      <c r="D9" s="16"/>
      <c r="E9" s="16"/>
      <c r="F9" s="17"/>
      <c r="G9" s="19">
        <v>-1</v>
      </c>
      <c r="H9" s="19">
        <v>-1</v>
      </c>
      <c r="I9" s="17"/>
      <c r="J9" s="16"/>
      <c r="K9" s="16"/>
      <c r="L9" s="17"/>
      <c r="M9" s="19">
        <v>-1</v>
      </c>
      <c r="N9" s="19">
        <v>-1</v>
      </c>
      <c r="O9" s="17"/>
      <c r="P9" s="16"/>
      <c r="Q9" s="16"/>
      <c r="R9" s="17"/>
      <c r="S9" s="19">
        <v>-1</v>
      </c>
      <c r="T9" s="19">
        <v>-1</v>
      </c>
      <c r="U9" s="17"/>
      <c r="V9" s="19">
        <v>-0.5</v>
      </c>
      <c r="W9" s="19">
        <v>-0.5</v>
      </c>
      <c r="X9" s="17"/>
      <c r="Y9" s="19">
        <v>-2</v>
      </c>
      <c r="Z9" s="19">
        <v>-2</v>
      </c>
      <c r="AA9" s="17"/>
      <c r="AB9" s="19"/>
      <c r="AC9" s="19"/>
      <c r="AD9" s="17"/>
      <c r="AE9" s="19">
        <v>-1</v>
      </c>
      <c r="AF9" s="19">
        <v>-1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</row>
    <row r="10" spans="1:42" ht="15" customHeight="1" x14ac:dyDescent="0.2">
      <c r="A10" s="4" t="str">
        <f>crop!A10</f>
        <v>Straw left on soil</v>
      </c>
      <c r="B10" s="4" t="str">
        <f>crop!B10</f>
        <v>C.3.2</v>
      </c>
      <c r="C10" s="18"/>
      <c r="D10" s="16">
        <v>1.02</v>
      </c>
      <c r="E10" s="16">
        <v>1.02</v>
      </c>
      <c r="F10" s="17"/>
      <c r="G10" s="19">
        <v>2</v>
      </c>
      <c r="H10" s="19">
        <v>2</v>
      </c>
      <c r="I10" s="17"/>
      <c r="J10" s="16">
        <v>1.02</v>
      </c>
      <c r="K10" s="16">
        <v>1.02</v>
      </c>
      <c r="L10" s="17"/>
      <c r="M10" s="19">
        <v>1</v>
      </c>
      <c r="N10" s="19">
        <v>1</v>
      </c>
      <c r="O10" s="17"/>
      <c r="P10" s="16"/>
      <c r="Q10" s="16"/>
      <c r="R10" s="17"/>
      <c r="S10" s="19">
        <v>0.5</v>
      </c>
      <c r="T10" s="19">
        <v>0.5</v>
      </c>
      <c r="U10" s="17"/>
      <c r="V10" s="19">
        <v>1</v>
      </c>
      <c r="W10" s="19">
        <v>1</v>
      </c>
      <c r="X10" s="17"/>
      <c r="Y10" s="19">
        <v>-1</v>
      </c>
      <c r="Z10" s="19">
        <v>-1</v>
      </c>
      <c r="AA10" s="17"/>
      <c r="AB10" s="19"/>
      <c r="AC10" s="19"/>
      <c r="AD10" s="17"/>
      <c r="AE10" s="19">
        <v>2</v>
      </c>
      <c r="AF10" s="19">
        <v>2</v>
      </c>
      <c r="AG10" s="17"/>
      <c r="AH10" s="19">
        <v>1</v>
      </c>
      <c r="AI10" s="19">
        <v>1</v>
      </c>
      <c r="AJ10" s="17"/>
      <c r="AK10" s="17"/>
      <c r="AL10" s="17"/>
      <c r="AM10" s="17"/>
      <c r="AN10" s="17"/>
      <c r="AO10" s="17"/>
      <c r="AP10" s="17"/>
    </row>
    <row r="11" spans="1:42" ht="15" customHeight="1" x14ac:dyDescent="0.2">
      <c r="A11" s="8" t="str">
        <f>crop!A11</f>
        <v>On-farm organic fertilizers + input of mineral fertilizer</v>
      </c>
      <c r="B11" s="8" t="str">
        <f>crop!B11</f>
        <v>C.4.1</v>
      </c>
      <c r="C11" s="18"/>
      <c r="D11" s="16"/>
      <c r="E11" s="16"/>
      <c r="F11" s="17"/>
      <c r="G11" s="19"/>
      <c r="H11" s="19"/>
      <c r="I11" s="17"/>
      <c r="J11" s="16"/>
      <c r="K11" s="16"/>
      <c r="L11" s="17"/>
      <c r="M11" s="19"/>
      <c r="N11" s="19"/>
      <c r="O11" s="17"/>
      <c r="P11" s="16"/>
      <c r="Q11" s="16"/>
      <c r="R11" s="17"/>
      <c r="S11" s="19">
        <v>2</v>
      </c>
      <c r="T11" s="19">
        <v>2</v>
      </c>
      <c r="U11" s="17"/>
      <c r="V11" s="19"/>
      <c r="W11" s="19"/>
      <c r="X11" s="17"/>
      <c r="Y11" s="19">
        <v>0.5</v>
      </c>
      <c r="Z11" s="19">
        <v>0.5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15" customHeight="1" x14ac:dyDescent="0.2">
      <c r="A12" s="10" t="str">
        <f>crop!A12</f>
        <v>On-farm organic fertilizers only</v>
      </c>
      <c r="B12" s="10" t="str">
        <f>crop!B12</f>
        <v>C.4.2</v>
      </c>
      <c r="C12" s="18"/>
      <c r="D12" s="16"/>
      <c r="E12" s="16"/>
      <c r="F12" s="17"/>
      <c r="G12" s="19"/>
      <c r="H12" s="19"/>
      <c r="I12" s="17"/>
      <c r="J12" s="16"/>
      <c r="K12" s="16"/>
      <c r="L12" s="17"/>
      <c r="M12" s="19"/>
      <c r="N12" s="19"/>
      <c r="O12" s="17"/>
      <c r="P12" s="16"/>
      <c r="Q12" s="16"/>
      <c r="R12" s="17"/>
      <c r="S12" s="19">
        <v>1</v>
      </c>
      <c r="T12" s="19">
        <v>1</v>
      </c>
      <c r="U12" s="17"/>
      <c r="V12" s="19"/>
      <c r="W12" s="19"/>
      <c r="X12" s="17"/>
      <c r="Y12" s="19"/>
      <c r="Z12" s="19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15" customHeight="1" x14ac:dyDescent="0.2">
      <c r="A13" s="4" t="str">
        <f>crop!A13</f>
        <v>Systematic use of chemical fungicides</v>
      </c>
      <c r="B13" s="4" t="str">
        <f>crop!B13</f>
        <v>C.5.1</v>
      </c>
      <c r="C13" s="18"/>
      <c r="D13" s="16"/>
      <c r="E13" s="16"/>
      <c r="F13" s="17"/>
      <c r="G13" s="19">
        <v>-1</v>
      </c>
      <c r="H13" s="19">
        <v>-1</v>
      </c>
      <c r="I13" s="17"/>
      <c r="J13" s="16"/>
      <c r="K13" s="16"/>
      <c r="L13" s="17"/>
      <c r="M13" s="19">
        <v>-1</v>
      </c>
      <c r="N13" s="19">
        <v>-1</v>
      </c>
      <c r="O13" s="17"/>
      <c r="P13" s="16">
        <v>0.9</v>
      </c>
      <c r="Q13" s="16">
        <v>0.9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6">
        <v>-1</v>
      </c>
      <c r="AL13" s="16">
        <v>-1</v>
      </c>
      <c r="AM13" s="17"/>
      <c r="AN13" s="17"/>
      <c r="AO13" s="17"/>
      <c r="AP13" s="17"/>
    </row>
    <row r="14" spans="1:42" ht="15" customHeight="1" x14ac:dyDescent="0.2">
      <c r="A14" s="4" t="str">
        <f>crop!A14</f>
        <v>Sound approach of chemical fungicides</v>
      </c>
      <c r="B14" s="4" t="str">
        <f>crop!B14</f>
        <v>C.5.2</v>
      </c>
      <c r="C14" s="18"/>
      <c r="D14" s="16">
        <v>1.01</v>
      </c>
      <c r="E14" s="16">
        <v>1.01</v>
      </c>
      <c r="F14" s="17"/>
      <c r="G14" s="19"/>
      <c r="H14" s="19"/>
      <c r="I14" s="17"/>
      <c r="J14" s="16">
        <v>1.01</v>
      </c>
      <c r="K14" s="16">
        <v>1.01</v>
      </c>
      <c r="L14" s="17"/>
      <c r="M14" s="17"/>
      <c r="N14" s="17"/>
      <c r="O14" s="17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6">
        <v>-0.5</v>
      </c>
      <c r="AL14" s="16">
        <v>-0.5</v>
      </c>
      <c r="AM14" s="17"/>
      <c r="AN14" s="17"/>
      <c r="AO14" s="17"/>
      <c r="AP14" s="17"/>
    </row>
    <row r="15" spans="1:42" ht="15" customHeight="1" x14ac:dyDescent="0.2">
      <c r="A15" s="4" t="str">
        <f>crop!A15</f>
        <v>Biocontrol products against diseases</v>
      </c>
      <c r="B15" s="4" t="str">
        <f>crop!B15</f>
        <v>C.5.3</v>
      </c>
      <c r="C15" s="18"/>
      <c r="D15" s="16">
        <v>1.02</v>
      </c>
      <c r="E15" s="16">
        <v>1.02</v>
      </c>
      <c r="F15" s="17"/>
      <c r="G15" s="19"/>
      <c r="H15" s="19"/>
      <c r="I15" s="17"/>
      <c r="J15" s="16">
        <v>1.02</v>
      </c>
      <c r="K15" s="16">
        <v>1.02</v>
      </c>
      <c r="L15" s="17"/>
      <c r="M15" s="17"/>
      <c r="N15" s="17"/>
      <c r="O15" s="17"/>
      <c r="P15" s="16">
        <v>1.02</v>
      </c>
      <c r="Q15" s="16">
        <v>1.02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6"/>
      <c r="AL15" s="16"/>
      <c r="AM15" s="17"/>
      <c r="AN15" s="17"/>
      <c r="AO15" s="17"/>
      <c r="AP15" s="17"/>
    </row>
    <row r="16" spans="1:42" ht="15" customHeight="1" x14ac:dyDescent="0.2">
      <c r="A16" s="6" t="str">
        <f>crop!A16</f>
        <v>No direct protection against diseases</v>
      </c>
      <c r="B16" s="6" t="str">
        <f>crop!B16</f>
        <v>C.5.4</v>
      </c>
      <c r="C16" s="18"/>
      <c r="D16" s="16">
        <v>1.03</v>
      </c>
      <c r="E16" s="16">
        <v>1.03</v>
      </c>
      <c r="F16" s="17"/>
      <c r="G16" s="19">
        <v>1</v>
      </c>
      <c r="H16" s="19">
        <v>1</v>
      </c>
      <c r="I16" s="17"/>
      <c r="J16" s="16">
        <v>1.03</v>
      </c>
      <c r="K16" s="16">
        <v>1.03</v>
      </c>
      <c r="L16" s="17"/>
      <c r="M16" s="19">
        <v>1</v>
      </c>
      <c r="N16" s="19">
        <v>1</v>
      </c>
      <c r="O16" s="17"/>
      <c r="P16" s="16">
        <v>1.03</v>
      </c>
      <c r="Q16" s="16">
        <v>1.03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6">
        <f>1</f>
        <v>1</v>
      </c>
      <c r="AL16" s="16">
        <f>1</f>
        <v>1</v>
      </c>
      <c r="AM16" s="17"/>
      <c r="AN16" s="17"/>
      <c r="AO16" s="17"/>
      <c r="AP16" s="17"/>
    </row>
    <row r="17" spans="1:42" ht="15" customHeight="1" x14ac:dyDescent="0.2">
      <c r="A17" s="7" t="str">
        <f>crop!A17</f>
        <v>Systematic and sole use of chemical herbicides</v>
      </c>
      <c r="B17" s="7" t="str">
        <f>crop!B17</f>
        <v>C.6.1</v>
      </c>
      <c r="C17" s="18"/>
      <c r="D17" s="16">
        <v>0.9</v>
      </c>
      <c r="E17" s="16">
        <v>0.9</v>
      </c>
      <c r="F17" s="17"/>
      <c r="G17" s="19"/>
      <c r="H17" s="19"/>
      <c r="I17" s="17"/>
      <c r="J17" s="16">
        <v>0.9</v>
      </c>
      <c r="K17" s="16">
        <v>0.9</v>
      </c>
      <c r="L17" s="17"/>
      <c r="M17" s="17"/>
      <c r="N17" s="17"/>
      <c r="O17" s="17"/>
      <c r="P17" s="16">
        <v>0.9</v>
      </c>
      <c r="Q17" s="16">
        <v>0.9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6">
        <v>-1</v>
      </c>
      <c r="AL17" s="16">
        <v>-1</v>
      </c>
      <c r="AM17" s="17"/>
      <c r="AN17" s="17"/>
      <c r="AO17" s="17"/>
      <c r="AP17" s="17"/>
    </row>
    <row r="18" spans="1:42" ht="15" customHeight="1" x14ac:dyDescent="0.2">
      <c r="A18" s="4" t="str">
        <f>crop!A18</f>
        <v>Sound approach of chemical herbicides + mechanical weed control</v>
      </c>
      <c r="B18" s="4" t="str">
        <f>crop!B18</f>
        <v>C.6.2</v>
      </c>
      <c r="C18" s="18"/>
      <c r="D18" s="16">
        <v>1.01</v>
      </c>
      <c r="E18" s="16">
        <v>1.01</v>
      </c>
      <c r="F18" s="17"/>
      <c r="G18" s="19">
        <v>-0.5</v>
      </c>
      <c r="H18" s="19">
        <v>-0.5</v>
      </c>
      <c r="I18" s="17"/>
      <c r="J18" s="16">
        <v>1.01</v>
      </c>
      <c r="K18" s="16">
        <v>1.01</v>
      </c>
      <c r="L18" s="17"/>
      <c r="M18" s="17"/>
      <c r="N18" s="17"/>
      <c r="O18" s="17"/>
      <c r="P18" s="16">
        <v>1.01</v>
      </c>
      <c r="Q18" s="16">
        <v>1.01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6">
        <v>-0.5</v>
      </c>
      <c r="AL18" s="16">
        <v>-0.5</v>
      </c>
      <c r="AM18" s="17"/>
      <c r="AN18" s="17"/>
      <c r="AO18" s="17"/>
      <c r="AP18" s="17"/>
    </row>
    <row r="19" spans="1:42" ht="15" customHeight="1" x14ac:dyDescent="0.2">
      <c r="A19" s="6" t="str">
        <f>crop!A19</f>
        <v>Sole use of mechanical weed control</v>
      </c>
      <c r="B19" s="6" t="str">
        <f>crop!B19</f>
        <v>C.6.3</v>
      </c>
      <c r="C19" s="18"/>
      <c r="D19" s="16">
        <v>1.02</v>
      </c>
      <c r="E19" s="16">
        <v>1.02</v>
      </c>
      <c r="F19" s="17"/>
      <c r="G19" s="19">
        <v>-1</v>
      </c>
      <c r="H19" s="19">
        <v>-1</v>
      </c>
      <c r="I19" s="17"/>
      <c r="J19" s="16">
        <v>1.02</v>
      </c>
      <c r="K19" s="16">
        <v>1.02</v>
      </c>
      <c r="L19" s="17"/>
      <c r="M19" s="19">
        <v>-1</v>
      </c>
      <c r="N19" s="19">
        <v>-1</v>
      </c>
      <c r="O19" s="17"/>
      <c r="P19" s="16">
        <v>1.02</v>
      </c>
      <c r="Q19" s="16">
        <v>1.02</v>
      </c>
      <c r="R19" s="17"/>
      <c r="S19" s="17"/>
      <c r="T19" s="17"/>
      <c r="U19" s="17"/>
      <c r="V19" s="17">
        <v>-0.5</v>
      </c>
      <c r="W19" s="17">
        <v>-0.5</v>
      </c>
      <c r="X19" s="17"/>
      <c r="Y19" s="17"/>
      <c r="Z19" s="17"/>
      <c r="AA19" s="17"/>
      <c r="AB19" s="17"/>
      <c r="AC19" s="17"/>
      <c r="AD19" s="17"/>
      <c r="AE19" s="17">
        <v>-0.5</v>
      </c>
      <c r="AF19" s="17">
        <v>-0.5</v>
      </c>
      <c r="AG19" s="17"/>
      <c r="AH19" s="17">
        <v>-0.5</v>
      </c>
      <c r="AI19" s="17">
        <v>-0.5</v>
      </c>
      <c r="AJ19" s="17"/>
      <c r="AK19" s="16">
        <v>1</v>
      </c>
      <c r="AL19" s="16">
        <v>1</v>
      </c>
      <c r="AM19" s="17"/>
      <c r="AN19" s="17"/>
      <c r="AO19" s="17"/>
      <c r="AP19" s="17"/>
    </row>
    <row r="20" spans="1:42" ht="15" customHeight="1" x14ac:dyDescent="0.2">
      <c r="A20" s="7" t="str">
        <f>crop!A20</f>
        <v>Systematic use of chemical insecticides / molluscicides / nematicides</v>
      </c>
      <c r="B20" s="7" t="str">
        <f>crop!B20</f>
        <v>C.7.1</v>
      </c>
      <c r="C20" s="18"/>
      <c r="D20" s="16">
        <v>0.8</v>
      </c>
      <c r="E20" s="16">
        <v>0.8</v>
      </c>
      <c r="F20" s="17"/>
      <c r="G20" s="19"/>
      <c r="H20" s="19"/>
      <c r="I20" s="17"/>
      <c r="J20" s="16">
        <v>0.8</v>
      </c>
      <c r="K20" s="16">
        <v>0.8</v>
      </c>
      <c r="L20" s="17"/>
      <c r="M20" s="19">
        <v>-2</v>
      </c>
      <c r="N20" s="19">
        <v>-2</v>
      </c>
      <c r="O20" s="17"/>
      <c r="P20" s="16">
        <v>0.8</v>
      </c>
      <c r="Q20" s="16">
        <v>0.8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6">
        <v>-1</v>
      </c>
      <c r="AL20" s="16">
        <v>-1</v>
      </c>
      <c r="AM20" s="17"/>
      <c r="AN20" s="17"/>
      <c r="AO20" s="17"/>
      <c r="AP20" s="17"/>
    </row>
    <row r="21" spans="1:42" ht="15" customHeight="1" x14ac:dyDescent="0.2">
      <c r="A21" s="4" t="str">
        <f>crop!A21</f>
        <v>Sound approach of chemical insecticides / molluscicides / nematicides</v>
      </c>
      <c r="B21" s="4" t="str">
        <f>crop!B21</f>
        <v>C.7.2</v>
      </c>
      <c r="C21" s="18"/>
      <c r="D21" s="16"/>
      <c r="E21" s="16"/>
      <c r="F21" s="17"/>
      <c r="G21" s="19"/>
      <c r="H21" s="19"/>
      <c r="I21" s="17"/>
      <c r="J21" s="16"/>
      <c r="K21" s="16"/>
      <c r="L21" s="17"/>
      <c r="M21" s="19">
        <v>-0.5</v>
      </c>
      <c r="N21" s="19">
        <v>-0.5</v>
      </c>
      <c r="O21" s="17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6">
        <v>-0.5</v>
      </c>
      <c r="AL21" s="16">
        <v>-0.5</v>
      </c>
      <c r="AM21" s="17"/>
      <c r="AN21" s="17"/>
      <c r="AO21" s="17"/>
      <c r="AP21" s="17"/>
    </row>
    <row r="22" spans="1:42" ht="15" customHeight="1" x14ac:dyDescent="0.2">
      <c r="A22" s="4" t="str">
        <f>crop!A22</f>
        <v>Biocontrol products (incl. pyrethrin) and other natural control techniques against pests</v>
      </c>
      <c r="B22" s="4" t="str">
        <f>crop!B22</f>
        <v>C.7.3</v>
      </c>
      <c r="C22" s="18"/>
      <c r="D22" s="16">
        <v>1.05</v>
      </c>
      <c r="E22" s="16">
        <v>1.05</v>
      </c>
      <c r="F22" s="17"/>
      <c r="G22" s="19"/>
      <c r="H22" s="19"/>
      <c r="I22" s="17"/>
      <c r="J22" s="16">
        <v>1.05</v>
      </c>
      <c r="K22" s="16">
        <v>1.05</v>
      </c>
      <c r="L22" s="17"/>
      <c r="M22" s="17"/>
      <c r="N22" s="17"/>
      <c r="O22" s="17"/>
      <c r="P22" s="16">
        <v>1.05</v>
      </c>
      <c r="Q22" s="16">
        <v>1.05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6"/>
      <c r="AL22" s="16"/>
      <c r="AM22" s="17"/>
      <c r="AN22" s="17"/>
      <c r="AO22" s="17"/>
      <c r="AP22" s="17"/>
    </row>
    <row r="23" spans="1:42" ht="15" customHeight="1" x14ac:dyDescent="0.2">
      <c r="A23" s="6" t="str">
        <f>crop!A23</f>
        <v>No direct protection against animal pests</v>
      </c>
      <c r="B23" s="6" t="str">
        <f>crop!B23</f>
        <v>C.7.4</v>
      </c>
      <c r="C23" s="18"/>
      <c r="D23" s="16">
        <v>1.2</v>
      </c>
      <c r="E23" s="16">
        <v>1.2</v>
      </c>
      <c r="F23" s="17"/>
      <c r="G23" s="19">
        <v>0.5</v>
      </c>
      <c r="H23" s="19">
        <v>0.5</v>
      </c>
      <c r="I23" s="17"/>
      <c r="J23" s="16">
        <v>1.2</v>
      </c>
      <c r="K23" s="16">
        <v>1.2</v>
      </c>
      <c r="L23" s="17"/>
      <c r="M23" s="19">
        <v>2</v>
      </c>
      <c r="N23" s="19">
        <v>2</v>
      </c>
      <c r="O23" s="17"/>
      <c r="P23" s="16">
        <v>1.2</v>
      </c>
      <c r="Q23" s="16">
        <v>1.2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6">
        <f>1</f>
        <v>1</v>
      </c>
      <c r="AL23" s="16">
        <f>1</f>
        <v>1</v>
      </c>
      <c r="AM23" s="17"/>
      <c r="AN23" s="17"/>
      <c r="AO23" s="17"/>
      <c r="AP23" s="17"/>
    </row>
    <row r="24" spans="1:42" ht="15" customHeight="1" x14ac:dyDescent="0.2">
      <c r="A24" s="7" t="str">
        <f>crop!A24</f>
        <v>High yielding cultivars</v>
      </c>
      <c r="B24" s="7" t="str">
        <f>crop!B24</f>
        <v>C.8.1</v>
      </c>
      <c r="C24" s="18"/>
      <c r="D24" s="16"/>
      <c r="E24" s="16"/>
      <c r="F24" s="17"/>
      <c r="G24" s="19"/>
      <c r="H24" s="19"/>
      <c r="I24" s="17"/>
      <c r="J24" s="16"/>
      <c r="K24" s="16"/>
      <c r="L24" s="17"/>
      <c r="M24" s="17"/>
      <c r="N24" s="17"/>
      <c r="O24" s="17"/>
      <c r="P24" s="16"/>
      <c r="Q24" s="16"/>
      <c r="R24" s="17"/>
      <c r="S24" s="17"/>
      <c r="T24" s="17"/>
      <c r="U24" s="17"/>
      <c r="V24" s="17"/>
      <c r="W24" s="17"/>
      <c r="X24" s="17"/>
      <c r="Y24" s="19">
        <v>-2</v>
      </c>
      <c r="Z24" s="19">
        <v>-2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 spans="1:42" ht="15" customHeight="1" x14ac:dyDescent="0.2">
      <c r="A25" s="6" t="str">
        <f>crop!A25</f>
        <v>Resistant cultivars and/or mix of varieties</v>
      </c>
      <c r="B25" s="6" t="str">
        <f>crop!B25</f>
        <v>C.8.2</v>
      </c>
      <c r="C25" s="18"/>
      <c r="D25" s="16"/>
      <c r="E25" s="16"/>
      <c r="F25" s="17"/>
      <c r="G25" s="19"/>
      <c r="H25" s="19"/>
      <c r="I25" s="17"/>
      <c r="J25" s="16"/>
      <c r="K25" s="16"/>
      <c r="L25" s="17"/>
      <c r="M25" s="17"/>
      <c r="N25" s="17"/>
      <c r="O25" s="17"/>
      <c r="P25" s="16"/>
      <c r="Q25" s="16"/>
      <c r="R25" s="17"/>
      <c r="S25" s="17"/>
      <c r="T25" s="17"/>
      <c r="U25" s="17"/>
      <c r="V25" s="17"/>
      <c r="W25" s="17"/>
      <c r="X25" s="17"/>
      <c r="Y25" s="19">
        <v>-0.5</v>
      </c>
      <c r="Z25" s="19">
        <v>-0.5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 spans="1:42" ht="15" customHeight="1" x14ac:dyDescent="0.2">
      <c r="A26" s="4" t="str">
        <f>crop!A26</f>
        <v>Temporary grassland composed of grass</v>
      </c>
      <c r="B26" s="4" t="str">
        <f>crop!B26</f>
        <v>C.9.1</v>
      </c>
      <c r="C26" s="18"/>
      <c r="D26" s="16"/>
      <c r="E26" s="16"/>
      <c r="F26" s="17"/>
      <c r="G26" s="19">
        <v>1</v>
      </c>
      <c r="H26" s="19">
        <v>1</v>
      </c>
      <c r="I26" s="17"/>
      <c r="J26" s="16"/>
      <c r="K26" s="16"/>
      <c r="L26" s="17"/>
      <c r="M26" s="19">
        <v>1</v>
      </c>
      <c r="N26" s="19">
        <v>1</v>
      </c>
      <c r="O26" s="17"/>
      <c r="P26" s="16"/>
      <c r="Q26" s="16"/>
      <c r="R26" s="17"/>
      <c r="S26" s="17"/>
      <c r="T26" s="17"/>
      <c r="U26" s="17"/>
      <c r="V26" s="19">
        <v>1</v>
      </c>
      <c r="W26" s="19">
        <v>1</v>
      </c>
      <c r="X26" s="17"/>
      <c r="Y26" s="19">
        <v>-1</v>
      </c>
      <c r="Z26" s="19">
        <v>-1</v>
      </c>
      <c r="AA26" s="17"/>
      <c r="AB26" s="19">
        <v>1</v>
      </c>
      <c r="AC26" s="19">
        <v>1</v>
      </c>
      <c r="AD26" s="17"/>
      <c r="AE26" s="17">
        <v>0.5</v>
      </c>
      <c r="AF26" s="17">
        <v>0.5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 spans="1:42" ht="15" customHeight="1" x14ac:dyDescent="0.2">
      <c r="A27" s="4" t="str">
        <f>crop!A27</f>
        <v>Temporary grassland composed of simple grass/legume mixtures</v>
      </c>
      <c r="B27" s="4" t="str">
        <f>crop!B27</f>
        <v>C.9.2</v>
      </c>
      <c r="C27" s="18"/>
      <c r="D27" s="16">
        <v>1.02</v>
      </c>
      <c r="E27" s="16">
        <v>1.02</v>
      </c>
      <c r="F27" s="17"/>
      <c r="G27" s="19">
        <v>2</v>
      </c>
      <c r="H27" s="19">
        <v>2</v>
      </c>
      <c r="I27" s="17"/>
      <c r="J27" s="16">
        <v>1.02</v>
      </c>
      <c r="K27" s="16">
        <v>1.02</v>
      </c>
      <c r="L27" s="17"/>
      <c r="M27" s="19">
        <v>2</v>
      </c>
      <c r="N27" s="19">
        <v>2</v>
      </c>
      <c r="O27" s="17"/>
      <c r="P27" s="16">
        <v>1.02</v>
      </c>
      <c r="Q27" s="16">
        <v>1.02</v>
      </c>
      <c r="R27" s="17"/>
      <c r="S27" s="17"/>
      <c r="T27" s="17"/>
      <c r="U27" s="17"/>
      <c r="V27" s="19">
        <v>1</v>
      </c>
      <c r="W27" s="19">
        <v>1</v>
      </c>
      <c r="X27" s="17"/>
      <c r="Y27" s="19">
        <v>1</v>
      </c>
      <c r="Z27" s="19">
        <v>1</v>
      </c>
      <c r="AA27" s="17"/>
      <c r="AB27" s="19">
        <v>1</v>
      </c>
      <c r="AC27" s="19">
        <v>1</v>
      </c>
      <c r="AD27" s="17"/>
      <c r="AE27" s="17">
        <v>0.5</v>
      </c>
      <c r="AF27" s="17">
        <v>0.5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 spans="1:42" ht="15" customHeight="1" x14ac:dyDescent="0.2">
      <c r="A28" s="6" t="str">
        <f>crop!A28</f>
        <v>Temporary grassland composed of complex grass/legume mixtures</v>
      </c>
      <c r="B28" s="6" t="str">
        <f>crop!B28</f>
        <v>C.9.3</v>
      </c>
      <c r="C28" s="18"/>
      <c r="D28" s="16">
        <v>1.05</v>
      </c>
      <c r="E28" s="16">
        <v>1.05</v>
      </c>
      <c r="F28" s="17"/>
      <c r="G28" s="19">
        <v>2</v>
      </c>
      <c r="H28" s="19">
        <v>2</v>
      </c>
      <c r="I28" s="17"/>
      <c r="J28" s="16">
        <v>1.05</v>
      </c>
      <c r="K28" s="16">
        <v>1.05</v>
      </c>
      <c r="L28" s="17"/>
      <c r="M28" s="19">
        <v>2</v>
      </c>
      <c r="N28" s="19">
        <v>2</v>
      </c>
      <c r="O28" s="17"/>
      <c r="P28" s="16">
        <v>1.05</v>
      </c>
      <c r="Q28" s="16">
        <v>1.05</v>
      </c>
      <c r="R28" s="17"/>
      <c r="S28" s="17"/>
      <c r="T28" s="17"/>
      <c r="U28" s="17"/>
      <c r="V28" s="19">
        <v>1</v>
      </c>
      <c r="W28" s="19">
        <v>1</v>
      </c>
      <c r="X28" s="17"/>
      <c r="Y28" s="19">
        <v>2</v>
      </c>
      <c r="Z28" s="19">
        <v>2</v>
      </c>
      <c r="AA28" s="17"/>
      <c r="AB28" s="19">
        <v>1</v>
      </c>
      <c r="AC28" s="19">
        <v>1</v>
      </c>
      <c r="AD28" s="17"/>
      <c r="AE28" s="17">
        <v>0.5</v>
      </c>
      <c r="AF28" s="17">
        <v>0.5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</row>
    <row r="29" spans="1:42" ht="15" customHeight="1" x14ac:dyDescent="0.2">
      <c r="A29" s="7" t="str">
        <f>crop!A29</f>
        <v>No permanent grassland</v>
      </c>
      <c r="B29" s="7" t="str">
        <f>crop!B29</f>
        <v>C.10.1</v>
      </c>
      <c r="C29" s="18"/>
      <c r="D29" s="17"/>
      <c r="E29" s="17"/>
      <c r="F29" s="16">
        <v>0.8</v>
      </c>
      <c r="G29" s="17"/>
      <c r="H29" s="17"/>
      <c r="I29" s="19">
        <v>-1</v>
      </c>
      <c r="J29" s="17"/>
      <c r="K29" s="17"/>
      <c r="L29" s="16">
        <v>0.8</v>
      </c>
      <c r="M29" s="17"/>
      <c r="N29" s="17"/>
      <c r="O29" s="19">
        <v>-1</v>
      </c>
      <c r="P29" s="17"/>
      <c r="Q29" s="17"/>
      <c r="R29" s="16">
        <v>0.8</v>
      </c>
      <c r="S29" s="17"/>
      <c r="T29" s="17"/>
      <c r="U29" s="17"/>
      <c r="V29" s="17"/>
      <c r="W29" s="17"/>
      <c r="X29" s="19">
        <v>-1</v>
      </c>
      <c r="Y29" s="17"/>
      <c r="Z29" s="17"/>
      <c r="AA29" s="17"/>
      <c r="AB29" s="17"/>
      <c r="AC29" s="17"/>
      <c r="AD29" s="19">
        <v>-1</v>
      </c>
      <c r="AE29" s="17"/>
      <c r="AF29" s="17"/>
      <c r="AG29" s="19">
        <v>-1</v>
      </c>
      <c r="AH29" s="17"/>
      <c r="AI29" s="17"/>
      <c r="AJ29" s="17"/>
      <c r="AK29" s="17"/>
      <c r="AL29" s="17"/>
      <c r="AM29" s="17"/>
      <c r="AN29" s="17"/>
      <c r="AO29" s="17"/>
      <c r="AP29" s="17"/>
    </row>
    <row r="30" spans="1:42" ht="15" customHeight="1" x14ac:dyDescent="0.2">
      <c r="A30" s="4" t="str">
        <f>crop!A30</f>
        <v>Permanent grassland occupy a small percentage of the farm area</v>
      </c>
      <c r="B30" s="4" t="str">
        <f>crop!B30</f>
        <v>C.10.2</v>
      </c>
      <c r="C30" s="18"/>
      <c r="D30" s="17"/>
      <c r="E30" s="17"/>
      <c r="F30" s="16"/>
      <c r="G30" s="17"/>
      <c r="H30" s="17"/>
      <c r="I30" s="19">
        <v>1</v>
      </c>
      <c r="J30" s="17"/>
      <c r="K30" s="17"/>
      <c r="L30" s="16"/>
      <c r="M30" s="17"/>
      <c r="N30" s="17"/>
      <c r="O30" s="19">
        <v>1</v>
      </c>
      <c r="P30" s="17"/>
      <c r="Q30" s="17"/>
      <c r="R30" s="16"/>
      <c r="S30" s="17"/>
      <c r="T30" s="17"/>
      <c r="U30" s="17"/>
      <c r="V30" s="17"/>
      <c r="W30" s="17"/>
      <c r="X30" s="19">
        <v>1</v>
      </c>
      <c r="Y30" s="17"/>
      <c r="Z30" s="17"/>
      <c r="AA30" s="19">
        <v>1</v>
      </c>
      <c r="AB30" s="17"/>
      <c r="AC30" s="17"/>
      <c r="AD30" s="19">
        <v>1</v>
      </c>
      <c r="AE30" s="17"/>
      <c r="AF30" s="17"/>
      <c r="AG30" s="19">
        <v>1</v>
      </c>
      <c r="AH30" s="17"/>
      <c r="AI30" s="17"/>
      <c r="AJ30" s="17"/>
      <c r="AK30" s="17"/>
      <c r="AL30" s="17"/>
      <c r="AM30" s="17"/>
      <c r="AN30" s="17"/>
      <c r="AO30" s="17"/>
      <c r="AP30" s="16"/>
    </row>
    <row r="31" spans="1:42" ht="15" customHeight="1" x14ac:dyDescent="0.2">
      <c r="A31" s="6" t="str">
        <f>crop!A31</f>
        <v>Permanent grassland occupy a high percentage of the farm area</v>
      </c>
      <c r="B31" s="6" t="str">
        <f>crop!B31</f>
        <v>C.10.3</v>
      </c>
      <c r="C31" s="18"/>
      <c r="D31" s="17"/>
      <c r="E31" s="17"/>
      <c r="F31" s="16">
        <v>1.05</v>
      </c>
      <c r="G31" s="17"/>
      <c r="H31" s="17"/>
      <c r="I31" s="19">
        <v>2</v>
      </c>
      <c r="J31" s="17"/>
      <c r="K31" s="17"/>
      <c r="L31" s="16">
        <v>1.05</v>
      </c>
      <c r="M31" s="17"/>
      <c r="N31" s="17"/>
      <c r="O31" s="19">
        <v>2</v>
      </c>
      <c r="P31" s="17"/>
      <c r="Q31" s="17"/>
      <c r="R31" s="16"/>
      <c r="S31" s="17"/>
      <c r="T31" s="17"/>
      <c r="U31" s="17"/>
      <c r="V31" s="17"/>
      <c r="W31" s="17"/>
      <c r="X31" s="19">
        <v>2</v>
      </c>
      <c r="Y31" s="17"/>
      <c r="Z31" s="17"/>
      <c r="AA31" s="19">
        <v>2</v>
      </c>
      <c r="AB31" s="17"/>
      <c r="AC31" s="17"/>
      <c r="AD31" s="19">
        <v>1</v>
      </c>
      <c r="AE31" s="17"/>
      <c r="AF31" s="17"/>
      <c r="AG31" s="19">
        <v>1</v>
      </c>
      <c r="AH31" s="17"/>
      <c r="AI31" s="17"/>
      <c r="AJ31" s="17"/>
      <c r="AK31" s="17"/>
      <c r="AL31" s="17"/>
      <c r="AM31" s="17"/>
      <c r="AN31" s="17"/>
      <c r="AO31" s="17"/>
      <c r="AP31" s="16"/>
    </row>
    <row r="32" spans="1:42" ht="15" customHeight="1" x14ac:dyDescent="0.2">
      <c r="A32" s="7" t="str">
        <f>crop!A32</f>
        <v>Sole crops</v>
      </c>
      <c r="B32" s="7" t="str">
        <f>crop!B32</f>
        <v>C.11.1</v>
      </c>
      <c r="C32" s="18"/>
      <c r="D32" s="16"/>
      <c r="E32" s="16"/>
      <c r="F32" s="17"/>
      <c r="G32" s="19">
        <v>-1</v>
      </c>
      <c r="H32" s="19">
        <v>-1</v>
      </c>
      <c r="I32" s="17"/>
      <c r="J32" s="16"/>
      <c r="K32" s="16"/>
      <c r="L32" s="17"/>
      <c r="M32" s="19">
        <v>-1</v>
      </c>
      <c r="N32" s="19">
        <v>-1</v>
      </c>
      <c r="O32" s="17"/>
      <c r="P32" s="16"/>
      <c r="Q32" s="16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 spans="1:42" ht="15" customHeight="1" x14ac:dyDescent="0.2">
      <c r="A33" s="6" t="str">
        <f>crop!A33</f>
        <v>Wheat/pea intercrops</v>
      </c>
      <c r="B33" s="6" t="str">
        <f>crop!B33</f>
        <v>C.11.2</v>
      </c>
      <c r="C33" s="18"/>
      <c r="D33" s="16">
        <v>1.1000000000000001</v>
      </c>
      <c r="E33" s="16">
        <v>1.1000000000000001</v>
      </c>
      <c r="F33" s="17"/>
      <c r="G33" s="19">
        <v>1</v>
      </c>
      <c r="H33" s="19">
        <v>1</v>
      </c>
      <c r="I33" s="17"/>
      <c r="J33" s="16">
        <v>1.05</v>
      </c>
      <c r="K33" s="16">
        <v>1.05</v>
      </c>
      <c r="L33" s="17"/>
      <c r="M33" s="19">
        <v>1</v>
      </c>
      <c r="N33" s="19">
        <v>1</v>
      </c>
      <c r="O33" s="17"/>
      <c r="P33" s="16">
        <v>1.1000000000000001</v>
      </c>
      <c r="Q33" s="16">
        <v>1.1000000000000001</v>
      </c>
      <c r="R33" s="17"/>
      <c r="S33" s="19">
        <v>1</v>
      </c>
      <c r="T33" s="19">
        <v>1</v>
      </c>
      <c r="U33" s="17"/>
      <c r="V33" s="17">
        <v>0.5</v>
      </c>
      <c r="W33" s="17">
        <v>0.5</v>
      </c>
      <c r="X33" s="17"/>
      <c r="Y33" s="17">
        <v>0.5</v>
      </c>
      <c r="Z33" s="17">
        <v>0.5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6">
        <v>0.25</v>
      </c>
      <c r="AO33" s="16">
        <v>0.25</v>
      </c>
      <c r="AP33" s="17"/>
    </row>
    <row r="34" spans="1:42" ht="15" customHeight="1" x14ac:dyDescent="0.2">
      <c r="A34" s="8" t="str">
        <f>crop!A34</f>
        <v>CS #1: maize - wheat</v>
      </c>
      <c r="B34" s="8" t="str">
        <f>crop!B34</f>
        <v>C.12.1</v>
      </c>
      <c r="C34" s="18"/>
      <c r="D34" s="16"/>
      <c r="E34" s="17"/>
      <c r="F34" s="17"/>
      <c r="G34" s="19">
        <v>-1</v>
      </c>
      <c r="H34" s="17"/>
      <c r="I34" s="17"/>
      <c r="J34" s="16"/>
      <c r="K34" s="17"/>
      <c r="L34" s="17"/>
      <c r="M34" s="17"/>
      <c r="N34" s="17"/>
      <c r="O34" s="17"/>
      <c r="P34" s="16"/>
      <c r="Q34" s="17"/>
      <c r="R34" s="17"/>
      <c r="S34" s="17"/>
      <c r="T34" s="17"/>
      <c r="U34" s="17"/>
      <c r="V34" s="17"/>
      <c r="W34" s="17"/>
      <c r="X34" s="17"/>
      <c r="Y34" s="19">
        <v>-2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spans="1:42" ht="15" customHeight="1" x14ac:dyDescent="0.2">
      <c r="A35" s="3" t="str">
        <f>crop!A35</f>
        <v>CS #1: rapeseed - wheat - maize - wheat</v>
      </c>
      <c r="B35" s="3" t="str">
        <f>crop!B35</f>
        <v>C.12.2</v>
      </c>
      <c r="C35" s="18"/>
      <c r="D35" s="16">
        <v>1.02</v>
      </c>
      <c r="E35" s="17"/>
      <c r="F35" s="17"/>
      <c r="G35" s="17"/>
      <c r="H35" s="17"/>
      <c r="I35" s="17"/>
      <c r="J35" s="17">
        <v>1.02</v>
      </c>
      <c r="K35" s="17"/>
      <c r="L35" s="17"/>
      <c r="M35" s="17"/>
      <c r="N35" s="17"/>
      <c r="O35" s="17"/>
      <c r="P35" s="17">
        <v>1.02</v>
      </c>
      <c r="Q35" s="17"/>
      <c r="R35" s="17"/>
      <c r="S35" s="17"/>
      <c r="T35" s="17"/>
      <c r="U35" s="17"/>
      <c r="V35" s="17"/>
      <c r="W35" s="17"/>
      <c r="X35" s="17"/>
      <c r="Y35" s="19">
        <v>-2</v>
      </c>
      <c r="Z35" s="17"/>
      <c r="AA35" s="17"/>
      <c r="AB35" s="17"/>
      <c r="AC35" s="17"/>
      <c r="AD35" s="17"/>
      <c r="AE35" s="17">
        <v>0.5</v>
      </c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</row>
    <row r="36" spans="1:42" ht="15" customHeight="1" x14ac:dyDescent="0.2">
      <c r="A36" s="3" t="str">
        <f>crop!A36</f>
        <v>CS #1: maize - wheat - maize - barley</v>
      </c>
      <c r="B36" s="3" t="str">
        <f>crop!B36</f>
        <v>C.12.3</v>
      </c>
      <c r="C36" s="5"/>
      <c r="D36" s="16">
        <v>1.02</v>
      </c>
      <c r="E36" s="17"/>
      <c r="F36" s="17"/>
      <c r="G36" s="17"/>
      <c r="H36" s="17"/>
      <c r="I36" s="17"/>
      <c r="J36" s="17">
        <v>1.02</v>
      </c>
      <c r="K36" s="17"/>
      <c r="L36" s="17"/>
      <c r="M36" s="17"/>
      <c r="N36" s="17"/>
      <c r="O36" s="17"/>
      <c r="P36" s="17">
        <v>1.02</v>
      </c>
      <c r="Q36" s="17"/>
      <c r="R36" s="17"/>
      <c r="S36" s="17"/>
      <c r="T36" s="17"/>
      <c r="U36" s="17"/>
      <c r="V36" s="17"/>
      <c r="W36" s="17"/>
      <c r="X36" s="17"/>
      <c r="Y36" s="19">
        <v>-2</v>
      </c>
      <c r="Z36" s="17"/>
      <c r="AA36" s="17"/>
      <c r="AB36" s="17"/>
      <c r="AC36" s="17"/>
      <c r="AD36" s="17"/>
      <c r="AE36" s="17">
        <v>0.5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spans="1:42" ht="15" customHeight="1" x14ac:dyDescent="0.2">
      <c r="A37" s="3" t="str">
        <f>crop!A37</f>
        <v>CS #1: alfalfa (3 years) - maize - wheat</v>
      </c>
      <c r="B37" s="3" t="str">
        <f>crop!B37</f>
        <v>C.12.4</v>
      </c>
      <c r="C37" s="9"/>
      <c r="D37" s="16">
        <v>1.04</v>
      </c>
      <c r="E37" s="17"/>
      <c r="F37" s="17"/>
      <c r="G37" s="19">
        <v>1</v>
      </c>
      <c r="H37" s="17"/>
      <c r="I37" s="17"/>
      <c r="J37" s="17">
        <v>1.04</v>
      </c>
      <c r="K37" s="17"/>
      <c r="L37" s="17"/>
      <c r="M37" s="19">
        <v>1</v>
      </c>
      <c r="N37" s="17"/>
      <c r="O37" s="17"/>
      <c r="P37" s="17">
        <v>1.04</v>
      </c>
      <c r="Q37" s="17"/>
      <c r="R37" s="17"/>
      <c r="S37" s="17"/>
      <c r="T37" s="17"/>
      <c r="U37" s="17"/>
      <c r="V37" s="19">
        <v>1</v>
      </c>
      <c r="W37" s="17"/>
      <c r="X37" s="17"/>
      <c r="Y37" s="19">
        <v>-1</v>
      </c>
      <c r="Z37" s="17"/>
      <c r="AA37" s="17"/>
      <c r="AB37" s="17"/>
      <c r="AC37" s="17"/>
      <c r="AD37" s="17"/>
      <c r="AE37" s="17">
        <v>0.5</v>
      </c>
      <c r="AF37" s="17"/>
      <c r="AG37" s="17"/>
      <c r="AH37" s="17"/>
      <c r="AI37" s="17"/>
      <c r="AJ37" s="17"/>
      <c r="AK37" s="17"/>
      <c r="AL37" s="17"/>
      <c r="AM37" s="17"/>
      <c r="AN37" s="16">
        <f>0.5</f>
        <v>0.5</v>
      </c>
      <c r="AO37" s="17"/>
      <c r="AP37" s="17"/>
    </row>
    <row r="38" spans="1:42" ht="15" customHeight="1" x14ac:dyDescent="0.2">
      <c r="A38" s="3" t="str">
        <f>crop!A38</f>
        <v>CS #1: faba bean - wheat - rapeseed - maize</v>
      </c>
      <c r="B38" s="3" t="str">
        <f>crop!B38</f>
        <v>C.12.5</v>
      </c>
      <c r="C38" s="9"/>
      <c r="D38" s="16">
        <v>1.04</v>
      </c>
      <c r="E38" s="17"/>
      <c r="F38" s="17"/>
      <c r="G38" s="19">
        <v>1</v>
      </c>
      <c r="H38" s="17"/>
      <c r="I38" s="17"/>
      <c r="J38" s="17">
        <v>1.04</v>
      </c>
      <c r="K38" s="17"/>
      <c r="L38" s="17"/>
      <c r="M38" s="19">
        <v>1</v>
      </c>
      <c r="N38" s="17"/>
      <c r="O38" s="17"/>
      <c r="P38" s="17">
        <v>1.04</v>
      </c>
      <c r="Q38" s="17"/>
      <c r="R38" s="17"/>
      <c r="S38" s="17"/>
      <c r="T38" s="17"/>
      <c r="U38" s="17"/>
      <c r="V38" s="19">
        <v>1</v>
      </c>
      <c r="W38" s="17"/>
      <c r="X38" s="17"/>
      <c r="Y38" s="19">
        <v>-1</v>
      </c>
      <c r="Z38" s="17"/>
      <c r="AA38" s="17"/>
      <c r="AB38" s="17"/>
      <c r="AC38" s="17"/>
      <c r="AD38" s="17"/>
      <c r="AE38" s="17">
        <v>0.5</v>
      </c>
      <c r="AF38" s="17"/>
      <c r="AG38" s="17"/>
      <c r="AH38" s="17"/>
      <c r="AI38" s="17"/>
      <c r="AJ38" s="17"/>
      <c r="AK38" s="17"/>
      <c r="AL38" s="17"/>
      <c r="AM38" s="17"/>
      <c r="AN38" s="16">
        <f>0.5</f>
        <v>0.5</v>
      </c>
      <c r="AO38" s="17"/>
      <c r="AP38" s="17"/>
    </row>
    <row r="39" spans="1:42" ht="15" customHeight="1" x14ac:dyDescent="0.2">
      <c r="A39" s="3" t="str">
        <f>crop!A39</f>
        <v>CS #1: grassland (4 years) - maize - maize</v>
      </c>
      <c r="B39" s="3" t="str">
        <f>crop!B39</f>
        <v>C.12.6</v>
      </c>
      <c r="C39" s="9"/>
      <c r="D39" s="16">
        <v>1.03</v>
      </c>
      <c r="E39" s="17"/>
      <c r="F39" s="17"/>
      <c r="G39" s="19">
        <v>1</v>
      </c>
      <c r="H39" s="17"/>
      <c r="I39" s="17"/>
      <c r="J39" s="17">
        <v>1.03</v>
      </c>
      <c r="K39" s="17"/>
      <c r="L39" s="17"/>
      <c r="M39" s="19">
        <v>1</v>
      </c>
      <c r="N39" s="17"/>
      <c r="O39" s="17"/>
      <c r="P39" s="17">
        <v>1.03</v>
      </c>
      <c r="Q39" s="17"/>
      <c r="R39" s="17"/>
      <c r="S39" s="19">
        <v>2</v>
      </c>
      <c r="T39" s="17"/>
      <c r="U39" s="17"/>
      <c r="V39" s="19">
        <v>1</v>
      </c>
      <c r="W39" s="17"/>
      <c r="X39" s="17"/>
      <c r="Y39" s="19"/>
      <c r="Z39" s="17"/>
      <c r="AA39" s="17"/>
      <c r="AB39" s="19">
        <v>1</v>
      </c>
      <c r="AC39" s="17"/>
      <c r="AD39" s="17"/>
      <c r="AE39" s="17">
        <v>0.5</v>
      </c>
      <c r="AF39" s="17"/>
      <c r="AG39" s="17"/>
      <c r="AH39" s="19">
        <v>1</v>
      </c>
      <c r="AI39" s="17"/>
      <c r="AJ39" s="17"/>
      <c r="AK39" s="16">
        <v>1</v>
      </c>
      <c r="AL39" s="17"/>
      <c r="AM39" s="17"/>
      <c r="AN39" s="17"/>
      <c r="AO39" s="17"/>
      <c r="AP39" s="17"/>
    </row>
    <row r="40" spans="1:42" ht="15" customHeight="1" x14ac:dyDescent="0.2">
      <c r="A40" s="3" t="str">
        <f>crop!A40</f>
        <v>CS #1: grassland (3 years) - maize - wheat - barley</v>
      </c>
      <c r="B40" s="3" t="str">
        <f>crop!B40</f>
        <v>C.12.7</v>
      </c>
      <c r="C40" s="9"/>
      <c r="D40" s="16">
        <v>1.03</v>
      </c>
      <c r="E40" s="17"/>
      <c r="F40" s="17"/>
      <c r="G40" s="19">
        <v>1</v>
      </c>
      <c r="H40" s="17"/>
      <c r="I40" s="17"/>
      <c r="J40" s="17">
        <v>1.03</v>
      </c>
      <c r="K40" s="17"/>
      <c r="L40" s="17"/>
      <c r="M40" s="19">
        <v>1</v>
      </c>
      <c r="N40" s="17"/>
      <c r="O40" s="17"/>
      <c r="P40" s="17">
        <v>1.03</v>
      </c>
      <c r="Q40" s="17"/>
      <c r="R40" s="17"/>
      <c r="S40" s="19">
        <v>2</v>
      </c>
      <c r="T40" s="17"/>
      <c r="U40" s="17"/>
      <c r="V40" s="19">
        <v>1</v>
      </c>
      <c r="W40" s="17"/>
      <c r="X40" s="17"/>
      <c r="Y40" s="19"/>
      <c r="Z40" s="17"/>
      <c r="AA40" s="17"/>
      <c r="AB40" s="19">
        <v>1</v>
      </c>
      <c r="AC40" s="17"/>
      <c r="AD40" s="17"/>
      <c r="AE40" s="17">
        <v>0.5</v>
      </c>
      <c r="AF40" s="17"/>
      <c r="AG40" s="17"/>
      <c r="AH40" s="19">
        <v>1</v>
      </c>
      <c r="AI40" s="17"/>
      <c r="AJ40" s="17"/>
      <c r="AK40" s="16">
        <v>1</v>
      </c>
      <c r="AL40" s="17"/>
      <c r="AM40" s="17"/>
      <c r="AN40" s="17"/>
      <c r="AO40" s="17"/>
      <c r="AP40" s="17"/>
    </row>
    <row r="41" spans="1:42" ht="15" customHeight="1" x14ac:dyDescent="0.2">
      <c r="A41" s="3" t="str">
        <f>crop!A41</f>
        <v>CS #1: faba bean - wheat - maize - alfalfa (3 years) - barley - maize</v>
      </c>
      <c r="B41" s="3" t="str">
        <f>crop!B41</f>
        <v>C.12.8</v>
      </c>
      <c r="C41" s="9"/>
      <c r="D41" s="16">
        <v>1.05</v>
      </c>
      <c r="E41" s="17"/>
      <c r="F41" s="17"/>
      <c r="G41" s="19">
        <v>2</v>
      </c>
      <c r="H41" s="17"/>
      <c r="I41" s="17"/>
      <c r="J41" s="17">
        <v>1.05</v>
      </c>
      <c r="K41" s="17"/>
      <c r="L41" s="17"/>
      <c r="M41" s="19">
        <v>2</v>
      </c>
      <c r="N41" s="17"/>
      <c r="O41" s="17"/>
      <c r="P41" s="17">
        <v>1.05</v>
      </c>
      <c r="Q41" s="17"/>
      <c r="R41" s="17"/>
      <c r="S41" s="19">
        <v>2</v>
      </c>
      <c r="T41" s="17"/>
      <c r="U41" s="17"/>
      <c r="V41" s="19">
        <v>2</v>
      </c>
      <c r="W41" s="17"/>
      <c r="X41" s="17"/>
      <c r="Y41" s="19"/>
      <c r="Z41" s="17"/>
      <c r="AA41" s="17"/>
      <c r="AB41" s="19">
        <v>1</v>
      </c>
      <c r="AC41" s="17"/>
      <c r="AD41" s="17"/>
      <c r="AE41" s="17">
        <v>0.5</v>
      </c>
      <c r="AF41" s="17"/>
      <c r="AG41" s="17"/>
      <c r="AH41" s="19">
        <v>1</v>
      </c>
      <c r="AI41" s="17"/>
      <c r="AJ41" s="17"/>
      <c r="AK41" s="16">
        <v>1</v>
      </c>
      <c r="AL41" s="17"/>
      <c r="AM41" s="17"/>
      <c r="AN41" s="16">
        <f>0.5</f>
        <v>0.5</v>
      </c>
      <c r="AO41" s="17"/>
      <c r="AP41" s="17"/>
    </row>
    <row r="42" spans="1:42" ht="15" customHeight="1" x14ac:dyDescent="0.2">
      <c r="A42" s="10" t="str">
        <f>crop!A42</f>
        <v>CS #1: grassland (3 years) - maize - wheat - faba bean - rapeseed</v>
      </c>
      <c r="B42" s="10" t="str">
        <f>crop!B42</f>
        <v>C.12.9</v>
      </c>
      <c r="C42" s="18"/>
      <c r="D42" s="16">
        <v>1.05</v>
      </c>
      <c r="E42" s="17"/>
      <c r="F42" s="17"/>
      <c r="G42" s="19">
        <v>2</v>
      </c>
      <c r="H42" s="17"/>
      <c r="I42" s="17"/>
      <c r="J42" s="17">
        <v>1.05</v>
      </c>
      <c r="K42" s="17"/>
      <c r="L42" s="17"/>
      <c r="M42" s="19">
        <v>2</v>
      </c>
      <c r="N42" s="17"/>
      <c r="O42" s="17"/>
      <c r="P42" s="17">
        <v>1.05</v>
      </c>
      <c r="Q42" s="17"/>
      <c r="R42" s="17"/>
      <c r="S42" s="19">
        <v>2</v>
      </c>
      <c r="T42" s="17"/>
      <c r="U42" s="17"/>
      <c r="V42" s="19">
        <v>2</v>
      </c>
      <c r="W42" s="17"/>
      <c r="X42" s="17"/>
      <c r="Y42" s="19"/>
      <c r="Z42" s="17"/>
      <c r="AA42" s="17"/>
      <c r="AB42" s="19">
        <v>1</v>
      </c>
      <c r="AC42" s="17"/>
      <c r="AD42" s="17"/>
      <c r="AE42" s="17">
        <v>0.5</v>
      </c>
      <c r="AF42" s="17"/>
      <c r="AG42" s="17"/>
      <c r="AH42" s="19">
        <v>1</v>
      </c>
      <c r="AI42" s="17"/>
      <c r="AJ42" s="17"/>
      <c r="AK42" s="16">
        <v>1</v>
      </c>
      <c r="AL42" s="17"/>
      <c r="AM42" s="17"/>
      <c r="AN42" s="16">
        <f>0.5</f>
        <v>0.5</v>
      </c>
      <c r="AO42" s="17"/>
      <c r="AP42" s="17"/>
    </row>
    <row r="43" spans="1:42" ht="15" customHeight="1" x14ac:dyDescent="0.2">
      <c r="A43" s="8" t="str">
        <f>crop!A43</f>
        <v>CS #2: maize - wheat</v>
      </c>
      <c r="B43" s="8" t="str">
        <f>crop!B43</f>
        <v>C.13.1</v>
      </c>
      <c r="C43" s="18"/>
      <c r="D43" s="17"/>
      <c r="E43" s="16"/>
      <c r="F43" s="17"/>
      <c r="G43" s="17"/>
      <c r="H43" s="19">
        <v>-1</v>
      </c>
      <c r="I43" s="17"/>
      <c r="J43" s="17"/>
      <c r="K43" s="16"/>
      <c r="L43" s="17"/>
      <c r="M43" s="17"/>
      <c r="N43" s="17"/>
      <c r="O43" s="17"/>
      <c r="P43" s="17"/>
      <c r="Q43" s="16"/>
      <c r="R43" s="17"/>
      <c r="S43" s="17"/>
      <c r="T43" s="17"/>
      <c r="U43" s="17"/>
      <c r="V43" s="17"/>
      <c r="W43" s="17"/>
      <c r="X43" s="17"/>
      <c r="Y43" s="17"/>
      <c r="Z43" s="19">
        <v>-2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</row>
    <row r="44" spans="1:42" ht="15" customHeight="1" x14ac:dyDescent="0.2">
      <c r="A44" s="3" t="str">
        <f>crop!A44</f>
        <v>CS #2: rapeseed - wheat - maize - wheat</v>
      </c>
      <c r="B44" s="3" t="str">
        <f>crop!B44</f>
        <v>C.13.2</v>
      </c>
      <c r="C44" s="9"/>
      <c r="D44" s="17"/>
      <c r="E44" s="16">
        <v>1.02</v>
      </c>
      <c r="F44" s="17"/>
      <c r="G44" s="17"/>
      <c r="H44" s="17"/>
      <c r="I44" s="17"/>
      <c r="J44" s="17"/>
      <c r="K44" s="17">
        <v>1.02</v>
      </c>
      <c r="L44" s="17"/>
      <c r="M44" s="17"/>
      <c r="N44" s="17"/>
      <c r="O44" s="17"/>
      <c r="P44" s="17"/>
      <c r="Q44" s="17">
        <v>1.02</v>
      </c>
      <c r="R44" s="17"/>
      <c r="S44" s="17"/>
      <c r="T44" s="17"/>
      <c r="U44" s="17"/>
      <c r="V44" s="17"/>
      <c r="W44" s="17"/>
      <c r="X44" s="17"/>
      <c r="Y44" s="17"/>
      <c r="Z44" s="19">
        <v>-2</v>
      </c>
      <c r="AA44" s="17"/>
      <c r="AB44" s="17"/>
      <c r="AC44" s="17"/>
      <c r="AD44" s="17"/>
      <c r="AE44" s="17"/>
      <c r="AF44" s="17">
        <v>0.5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ht="15" customHeight="1" x14ac:dyDescent="0.2">
      <c r="A45" s="3" t="str">
        <f>crop!A45</f>
        <v>CS #2: maize - wheat - maize - barley</v>
      </c>
      <c r="B45" s="3" t="str">
        <f>crop!B45</f>
        <v>C.13.3</v>
      </c>
      <c r="C45" s="9"/>
      <c r="D45" s="17"/>
      <c r="E45" s="16">
        <v>1.02</v>
      </c>
      <c r="F45" s="17"/>
      <c r="G45" s="17"/>
      <c r="H45" s="17"/>
      <c r="I45" s="17"/>
      <c r="J45" s="17"/>
      <c r="K45" s="17">
        <v>1.02</v>
      </c>
      <c r="L45" s="17"/>
      <c r="M45" s="17"/>
      <c r="N45" s="17"/>
      <c r="O45" s="17"/>
      <c r="P45" s="17"/>
      <c r="Q45" s="17">
        <v>1.02</v>
      </c>
      <c r="R45" s="17"/>
      <c r="S45" s="17"/>
      <c r="T45" s="17"/>
      <c r="U45" s="17"/>
      <c r="V45" s="17"/>
      <c r="W45" s="17"/>
      <c r="X45" s="17"/>
      <c r="Y45" s="17"/>
      <c r="Z45" s="19">
        <v>-2</v>
      </c>
      <c r="AA45" s="17"/>
      <c r="AB45" s="17"/>
      <c r="AC45" s="17"/>
      <c r="AD45" s="17"/>
      <c r="AE45" s="17"/>
      <c r="AF45" s="17">
        <v>0.5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</row>
    <row r="46" spans="1:42" ht="15" customHeight="1" x14ac:dyDescent="0.2">
      <c r="A46" s="3" t="str">
        <f>crop!A46</f>
        <v>CS #2: alfalfa (3 years) - maize - wheat</v>
      </c>
      <c r="B46" s="3" t="str">
        <f>crop!B46</f>
        <v>C.13.4</v>
      </c>
      <c r="C46" s="9"/>
      <c r="D46" s="17"/>
      <c r="E46" s="16">
        <v>1.04</v>
      </c>
      <c r="F46" s="17"/>
      <c r="G46" s="17"/>
      <c r="H46" s="19">
        <v>1</v>
      </c>
      <c r="I46" s="17"/>
      <c r="J46" s="17"/>
      <c r="K46" s="17">
        <v>1.04</v>
      </c>
      <c r="L46" s="17"/>
      <c r="M46" s="17"/>
      <c r="N46" s="19">
        <v>1</v>
      </c>
      <c r="O46" s="17"/>
      <c r="P46" s="17"/>
      <c r="Q46" s="17">
        <v>1.04</v>
      </c>
      <c r="R46" s="17"/>
      <c r="S46" s="17"/>
      <c r="T46" s="17"/>
      <c r="U46" s="17"/>
      <c r="V46" s="17"/>
      <c r="W46" s="19">
        <v>1</v>
      </c>
      <c r="X46" s="17"/>
      <c r="Y46" s="17"/>
      <c r="Z46" s="19">
        <v>-1</v>
      </c>
      <c r="AA46" s="17"/>
      <c r="AB46" s="17"/>
      <c r="AC46" s="17"/>
      <c r="AD46" s="17"/>
      <c r="AE46" s="17"/>
      <c r="AF46" s="17">
        <v>0.5</v>
      </c>
      <c r="AG46" s="17"/>
      <c r="AH46" s="17"/>
      <c r="AI46" s="17"/>
      <c r="AJ46" s="17"/>
      <c r="AK46" s="17"/>
      <c r="AL46" s="17"/>
      <c r="AM46" s="17"/>
      <c r="AN46" s="17"/>
      <c r="AO46" s="16">
        <f>0.5</f>
        <v>0.5</v>
      </c>
      <c r="AP46" s="17"/>
    </row>
    <row r="47" spans="1:42" ht="15" customHeight="1" x14ac:dyDescent="0.2">
      <c r="A47" s="3" t="str">
        <f>crop!A47</f>
        <v>CS #2: faba bean - wheat - rapeseed - maize</v>
      </c>
      <c r="B47" s="3" t="str">
        <f>crop!B47</f>
        <v>C.13.5</v>
      </c>
      <c r="C47" s="9"/>
      <c r="D47" s="17"/>
      <c r="E47" s="16">
        <v>1.04</v>
      </c>
      <c r="F47" s="17"/>
      <c r="G47" s="17"/>
      <c r="H47" s="19">
        <v>1</v>
      </c>
      <c r="I47" s="17"/>
      <c r="J47" s="17"/>
      <c r="K47" s="17">
        <v>1.04</v>
      </c>
      <c r="L47" s="17"/>
      <c r="M47" s="17"/>
      <c r="N47" s="19">
        <v>1</v>
      </c>
      <c r="O47" s="17"/>
      <c r="P47" s="17"/>
      <c r="Q47" s="17">
        <v>1.04</v>
      </c>
      <c r="R47" s="17"/>
      <c r="S47" s="17"/>
      <c r="T47" s="17"/>
      <c r="U47" s="17"/>
      <c r="V47" s="17"/>
      <c r="W47" s="19">
        <v>1</v>
      </c>
      <c r="X47" s="17"/>
      <c r="Y47" s="17"/>
      <c r="Z47" s="19">
        <v>-1</v>
      </c>
      <c r="AA47" s="17"/>
      <c r="AB47" s="17"/>
      <c r="AC47" s="17"/>
      <c r="AD47" s="17"/>
      <c r="AE47" s="17"/>
      <c r="AF47" s="17">
        <v>0.5</v>
      </c>
      <c r="AG47" s="17"/>
      <c r="AH47" s="17"/>
      <c r="AI47" s="17"/>
      <c r="AJ47" s="17"/>
      <c r="AK47" s="17"/>
      <c r="AL47" s="17"/>
      <c r="AM47" s="17"/>
      <c r="AN47" s="17"/>
      <c r="AO47" s="16">
        <f>0.5</f>
        <v>0.5</v>
      </c>
      <c r="AP47" s="17"/>
    </row>
    <row r="48" spans="1:42" ht="15" customHeight="1" x14ac:dyDescent="0.2">
      <c r="A48" s="11" t="str">
        <f>crop!A48</f>
        <v>CS #2: grassland (4 years) - maize - maize</v>
      </c>
      <c r="B48" s="3" t="str">
        <f>crop!B48</f>
        <v>C.13.6</v>
      </c>
      <c r="C48" s="9"/>
      <c r="D48" s="17"/>
      <c r="E48" s="16">
        <v>1.03</v>
      </c>
      <c r="F48" s="17"/>
      <c r="G48" s="17"/>
      <c r="H48" s="19">
        <v>1</v>
      </c>
      <c r="I48" s="17"/>
      <c r="J48" s="17"/>
      <c r="K48" s="17">
        <v>1.03</v>
      </c>
      <c r="L48" s="17"/>
      <c r="M48" s="17"/>
      <c r="N48" s="19">
        <v>1</v>
      </c>
      <c r="O48" s="17"/>
      <c r="P48" s="17"/>
      <c r="Q48" s="17">
        <v>1.03</v>
      </c>
      <c r="R48" s="17"/>
      <c r="S48" s="17"/>
      <c r="T48" s="19">
        <v>2</v>
      </c>
      <c r="U48" s="17"/>
      <c r="V48" s="17"/>
      <c r="W48" s="19">
        <v>1</v>
      </c>
      <c r="X48" s="17"/>
      <c r="Y48" s="17"/>
      <c r="Z48" s="19"/>
      <c r="AA48" s="17"/>
      <c r="AB48" s="17"/>
      <c r="AC48" s="19">
        <v>1</v>
      </c>
      <c r="AD48" s="17"/>
      <c r="AE48" s="17"/>
      <c r="AF48" s="17">
        <v>0.5</v>
      </c>
      <c r="AG48" s="17"/>
      <c r="AH48" s="17"/>
      <c r="AI48" s="19">
        <v>1</v>
      </c>
      <c r="AJ48" s="17"/>
      <c r="AK48" s="17"/>
      <c r="AL48" s="16">
        <v>1</v>
      </c>
      <c r="AM48" s="17"/>
      <c r="AN48" s="17"/>
      <c r="AO48" s="17"/>
      <c r="AP48" s="17"/>
    </row>
    <row r="49" spans="1:42" ht="15" customHeight="1" x14ac:dyDescent="0.2">
      <c r="A49" s="11" t="str">
        <f>crop!A49</f>
        <v>CS #2: grassland (3 years) - maize - wheat - barley</v>
      </c>
      <c r="B49" s="3" t="str">
        <f>crop!B49</f>
        <v>C.13.7</v>
      </c>
      <c r="C49" s="9"/>
      <c r="D49" s="17"/>
      <c r="E49" s="16">
        <v>1.03</v>
      </c>
      <c r="F49" s="17"/>
      <c r="G49" s="17"/>
      <c r="H49" s="19">
        <v>1</v>
      </c>
      <c r="I49" s="17"/>
      <c r="J49" s="17"/>
      <c r="K49" s="17">
        <v>1.03</v>
      </c>
      <c r="L49" s="17"/>
      <c r="M49" s="17"/>
      <c r="N49" s="19">
        <v>1</v>
      </c>
      <c r="O49" s="17"/>
      <c r="P49" s="17"/>
      <c r="Q49" s="17">
        <v>1.03</v>
      </c>
      <c r="R49" s="17"/>
      <c r="S49" s="17"/>
      <c r="T49" s="19">
        <v>2</v>
      </c>
      <c r="U49" s="17"/>
      <c r="V49" s="17"/>
      <c r="W49" s="19">
        <v>1</v>
      </c>
      <c r="X49" s="17"/>
      <c r="Y49" s="17"/>
      <c r="Z49" s="19"/>
      <c r="AA49" s="17"/>
      <c r="AB49" s="17"/>
      <c r="AC49" s="19">
        <v>1</v>
      </c>
      <c r="AD49" s="17"/>
      <c r="AE49" s="17"/>
      <c r="AF49" s="17">
        <v>0.5</v>
      </c>
      <c r="AG49" s="17"/>
      <c r="AH49" s="17"/>
      <c r="AI49" s="19">
        <v>1</v>
      </c>
      <c r="AJ49" s="17"/>
      <c r="AK49" s="17"/>
      <c r="AL49" s="16">
        <v>1</v>
      </c>
      <c r="AM49" s="17"/>
      <c r="AN49" s="17"/>
      <c r="AO49" s="17"/>
      <c r="AP49" s="17"/>
    </row>
    <row r="50" spans="1:42" ht="15" customHeight="1" x14ac:dyDescent="0.2">
      <c r="A50" s="3" t="str">
        <f>crop!A50</f>
        <v>CS #2: faba bean - wheat - maize - alfalfa (3 years) - barley - maize</v>
      </c>
      <c r="B50" s="3" t="str">
        <f>crop!B50</f>
        <v>C.13.8</v>
      </c>
      <c r="C50" s="9"/>
      <c r="D50" s="17"/>
      <c r="E50" s="16">
        <v>1.05</v>
      </c>
      <c r="F50" s="17"/>
      <c r="G50" s="17"/>
      <c r="H50" s="19">
        <v>2</v>
      </c>
      <c r="I50" s="17"/>
      <c r="J50" s="17"/>
      <c r="K50" s="17">
        <v>1.05</v>
      </c>
      <c r="L50" s="17"/>
      <c r="M50" s="17"/>
      <c r="N50" s="19">
        <v>2</v>
      </c>
      <c r="O50" s="17"/>
      <c r="P50" s="17"/>
      <c r="Q50" s="17">
        <v>1.05</v>
      </c>
      <c r="R50" s="17"/>
      <c r="S50" s="17"/>
      <c r="T50" s="19">
        <v>2</v>
      </c>
      <c r="U50" s="17"/>
      <c r="V50" s="17"/>
      <c r="W50" s="19">
        <v>2</v>
      </c>
      <c r="X50" s="17"/>
      <c r="Y50" s="17"/>
      <c r="Z50" s="19"/>
      <c r="AA50" s="17"/>
      <c r="AB50" s="17"/>
      <c r="AC50" s="19">
        <v>1</v>
      </c>
      <c r="AD50" s="17"/>
      <c r="AE50" s="17"/>
      <c r="AF50" s="17">
        <v>0.5</v>
      </c>
      <c r="AG50" s="17"/>
      <c r="AH50" s="17"/>
      <c r="AI50" s="19">
        <v>1</v>
      </c>
      <c r="AJ50" s="17"/>
      <c r="AK50" s="17"/>
      <c r="AL50" s="16">
        <v>1</v>
      </c>
      <c r="AM50" s="17"/>
      <c r="AN50" s="17"/>
      <c r="AO50" s="16">
        <f>0.5</f>
        <v>0.5</v>
      </c>
      <c r="AP50" s="17"/>
    </row>
    <row r="51" spans="1:42" ht="15" customHeight="1" x14ac:dyDescent="0.2">
      <c r="A51" s="10" t="str">
        <f>crop!A51</f>
        <v>CS #2: grassland (3 years) - maize - wheat - faba bean - rapeseed</v>
      </c>
      <c r="B51" s="10" t="str">
        <f>crop!B51</f>
        <v>C.13.9</v>
      </c>
      <c r="C51" s="18"/>
      <c r="D51" s="17"/>
      <c r="E51" s="16">
        <v>1.05</v>
      </c>
      <c r="F51" s="17"/>
      <c r="G51" s="17"/>
      <c r="H51" s="19">
        <v>2</v>
      </c>
      <c r="I51" s="17"/>
      <c r="J51" s="17"/>
      <c r="K51" s="17">
        <v>1.05</v>
      </c>
      <c r="L51" s="17"/>
      <c r="M51" s="17"/>
      <c r="N51" s="19">
        <v>2</v>
      </c>
      <c r="O51" s="17"/>
      <c r="P51" s="17"/>
      <c r="Q51" s="17">
        <v>1.05</v>
      </c>
      <c r="R51" s="17"/>
      <c r="S51" s="17"/>
      <c r="T51" s="19">
        <v>2</v>
      </c>
      <c r="U51" s="17"/>
      <c r="V51" s="17"/>
      <c r="W51" s="19">
        <v>2</v>
      </c>
      <c r="X51" s="17"/>
      <c r="Y51" s="17"/>
      <c r="Z51" s="19"/>
      <c r="AA51" s="17"/>
      <c r="AB51" s="17"/>
      <c r="AC51" s="19">
        <v>1</v>
      </c>
      <c r="AD51" s="17"/>
      <c r="AE51" s="17"/>
      <c r="AF51" s="17">
        <v>0.5</v>
      </c>
      <c r="AG51" s="17"/>
      <c r="AH51" s="17"/>
      <c r="AI51" s="19">
        <v>1</v>
      </c>
      <c r="AJ51" s="17"/>
      <c r="AK51" s="17"/>
      <c r="AL51" s="16">
        <v>1</v>
      </c>
      <c r="AM51" s="17"/>
      <c r="AN51" s="17"/>
      <c r="AO51" s="16">
        <f>0.5</f>
        <v>0.5</v>
      </c>
      <c r="AP51" s="17"/>
    </row>
    <row r="52" spans="1:42" ht="15" customHeight="1" x14ac:dyDescent="0.2">
      <c r="A52" s="8" t="str">
        <f>crop!A52</f>
        <v>No particular green infrastructure elements</v>
      </c>
      <c r="B52" s="8" t="str">
        <f>crop!B52</f>
        <v>C.14.1</v>
      </c>
      <c r="C52" s="3"/>
      <c r="D52" s="16">
        <f>SQRT(0.8)</f>
        <v>0.89442719099991586</v>
      </c>
      <c r="E52" s="16">
        <f t="shared" ref="E52:F52" si="0">SQRT(0.8)</f>
        <v>0.89442719099991586</v>
      </c>
      <c r="F52" s="16">
        <f t="shared" si="0"/>
        <v>0.89442719099991586</v>
      </c>
      <c r="G52" s="17"/>
      <c r="H52" s="17"/>
      <c r="I52" s="17"/>
      <c r="J52" s="16">
        <f>SQRT(0.8)</f>
        <v>0.89442719099991586</v>
      </c>
      <c r="K52" s="16">
        <f t="shared" ref="K52:L52" si="1">SQRT(0.8)</f>
        <v>0.89442719099991586</v>
      </c>
      <c r="L52" s="16">
        <f t="shared" si="1"/>
        <v>0.89442719099991586</v>
      </c>
      <c r="M52" s="19"/>
      <c r="N52" s="19"/>
      <c r="O52" s="19"/>
      <c r="P52" s="16">
        <f>SQRT(0.8)</f>
        <v>0.89442719099991586</v>
      </c>
      <c r="Q52" s="16">
        <f t="shared" ref="Q52:R52" si="2">SQRT(0.8)</f>
        <v>0.89442719099991586</v>
      </c>
      <c r="R52" s="16">
        <f t="shared" si="2"/>
        <v>0.89442719099991586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</row>
    <row r="53" spans="1:42" ht="15" customHeight="1" x14ac:dyDescent="0.2">
      <c r="A53" s="3" t="str">
        <f>crop!A53</f>
        <v>Sown field margins as green infrastructures: wildflowers strip</v>
      </c>
      <c r="B53" s="3" t="str">
        <f>crop!B53</f>
        <v>C.14.2</v>
      </c>
      <c r="C53" s="3"/>
      <c r="D53" s="16">
        <f>1.3/SQRT(0.8)</f>
        <v>1.4534441853748634</v>
      </c>
      <c r="E53" s="16">
        <f t="shared" ref="E53:F58" si="3">1.3/SQRT(0.8)</f>
        <v>1.4534441853748634</v>
      </c>
      <c r="F53" s="16">
        <f t="shared" si="3"/>
        <v>1.4534441853748634</v>
      </c>
      <c r="G53" s="19">
        <v>0.5</v>
      </c>
      <c r="H53" s="19">
        <v>0.5</v>
      </c>
      <c r="I53" s="19">
        <v>0.5</v>
      </c>
      <c r="J53" s="16">
        <f>1.3/SQRT(0.8)</f>
        <v>1.4534441853748634</v>
      </c>
      <c r="K53" s="16">
        <f t="shared" ref="K53:L58" si="4">1.3/SQRT(0.8)</f>
        <v>1.4534441853748634</v>
      </c>
      <c r="L53" s="16">
        <f t="shared" si="4"/>
        <v>1.4534441853748634</v>
      </c>
      <c r="M53" s="19">
        <v>0.5</v>
      </c>
      <c r="N53" s="19">
        <v>0.5</v>
      </c>
      <c r="O53" s="19">
        <v>0.5</v>
      </c>
      <c r="P53" s="16">
        <f>1.3/SQRT(0.8)</f>
        <v>1.4534441853748634</v>
      </c>
      <c r="Q53" s="16">
        <f t="shared" ref="Q53:R58" si="5">1.3/SQRT(0.8)</f>
        <v>1.4534441853748634</v>
      </c>
      <c r="R53" s="16">
        <f t="shared" si="5"/>
        <v>1.4534441853748634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9">
        <v>1</v>
      </c>
      <c r="AF53" s="19">
        <v>1</v>
      </c>
      <c r="AG53" s="19">
        <v>1</v>
      </c>
      <c r="AH53" s="19">
        <v>0.5</v>
      </c>
      <c r="AI53" s="19">
        <v>0.5</v>
      </c>
      <c r="AJ53" s="17"/>
      <c r="AK53" s="16">
        <v>0.5</v>
      </c>
      <c r="AL53" s="16">
        <v>0.5</v>
      </c>
      <c r="AM53" s="17"/>
      <c r="AN53" s="17"/>
      <c r="AO53" s="17"/>
      <c r="AP53" s="17"/>
    </row>
    <row r="54" spans="1:42" ht="15" customHeight="1" x14ac:dyDescent="0.2">
      <c r="A54" s="3" t="str">
        <f>crop!A54</f>
        <v>Sown field margins as green infrastructures: beetle bank (for birds and polyphagous predator)</v>
      </c>
      <c r="B54" s="3" t="str">
        <f>crop!B54</f>
        <v>C.14.3</v>
      </c>
      <c r="C54" s="3"/>
      <c r="D54" s="16">
        <f t="shared" ref="D54:D58" si="6">1.3/SQRT(0.8)</f>
        <v>1.4534441853748634</v>
      </c>
      <c r="E54" s="16">
        <f t="shared" si="3"/>
        <v>1.4534441853748634</v>
      </c>
      <c r="F54" s="16">
        <f t="shared" si="3"/>
        <v>1.4534441853748634</v>
      </c>
      <c r="G54" s="19">
        <v>0.5</v>
      </c>
      <c r="H54" s="19">
        <v>0.5</v>
      </c>
      <c r="I54" s="19">
        <v>0.5</v>
      </c>
      <c r="J54" s="16">
        <f t="shared" ref="J54:J58" si="7">1.3/SQRT(0.8)</f>
        <v>1.4534441853748634</v>
      </c>
      <c r="K54" s="16">
        <f t="shared" si="4"/>
        <v>1.4534441853748634</v>
      </c>
      <c r="L54" s="16">
        <f t="shared" si="4"/>
        <v>1.4534441853748634</v>
      </c>
      <c r="M54" s="19">
        <v>0.5</v>
      </c>
      <c r="N54" s="19">
        <v>0.5</v>
      </c>
      <c r="O54" s="19">
        <v>0.5</v>
      </c>
      <c r="P54" s="16">
        <f t="shared" ref="P54:P58" si="8">1.3/SQRT(0.8)</f>
        <v>1.4534441853748634</v>
      </c>
      <c r="Q54" s="16">
        <f t="shared" si="5"/>
        <v>1.4534441853748634</v>
      </c>
      <c r="R54" s="16">
        <f t="shared" si="5"/>
        <v>1.4534441853748634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9">
        <v>1</v>
      </c>
      <c r="AF54" s="19">
        <v>1</v>
      </c>
      <c r="AG54" s="19">
        <v>1</v>
      </c>
      <c r="AH54" s="19">
        <v>0.5</v>
      </c>
      <c r="AI54" s="19">
        <v>0.5</v>
      </c>
      <c r="AJ54" s="17"/>
      <c r="AK54" s="16">
        <v>0.5</v>
      </c>
      <c r="AL54" s="16">
        <v>0.5</v>
      </c>
      <c r="AM54" s="17"/>
      <c r="AN54" s="17"/>
      <c r="AO54" s="17"/>
      <c r="AP54" s="17"/>
    </row>
    <row r="55" spans="1:42" ht="15" customHeight="1" x14ac:dyDescent="0.2">
      <c r="A55" s="3" t="str">
        <f>crop!A55</f>
        <v>Semi-natural field margins as green infrastructures: hedgerows </v>
      </c>
      <c r="B55" s="3" t="str">
        <f>crop!B55</f>
        <v>C.14.4</v>
      </c>
      <c r="C55" s="3"/>
      <c r="D55" s="16">
        <f t="shared" si="6"/>
        <v>1.4534441853748634</v>
      </c>
      <c r="E55" s="16">
        <f t="shared" si="3"/>
        <v>1.4534441853748634</v>
      </c>
      <c r="F55" s="16">
        <f t="shared" si="3"/>
        <v>1.4534441853748634</v>
      </c>
      <c r="G55" s="19">
        <v>1</v>
      </c>
      <c r="H55" s="19">
        <v>1</v>
      </c>
      <c r="I55" s="19">
        <v>1</v>
      </c>
      <c r="J55" s="16">
        <f t="shared" si="7"/>
        <v>1.4534441853748634</v>
      </c>
      <c r="K55" s="16">
        <f t="shared" si="4"/>
        <v>1.4534441853748634</v>
      </c>
      <c r="L55" s="16">
        <f t="shared" si="4"/>
        <v>1.4534441853748634</v>
      </c>
      <c r="M55" s="19">
        <v>0.5</v>
      </c>
      <c r="N55" s="19">
        <v>0.5</v>
      </c>
      <c r="O55" s="19">
        <v>0.5</v>
      </c>
      <c r="P55" s="16">
        <f t="shared" si="8"/>
        <v>1.4534441853748634</v>
      </c>
      <c r="Q55" s="16">
        <f t="shared" si="5"/>
        <v>1.4534441853748634</v>
      </c>
      <c r="R55" s="16">
        <f t="shared" si="5"/>
        <v>1.4534441853748634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9">
        <v>1</v>
      </c>
      <c r="AF55" s="19">
        <v>1</v>
      </c>
      <c r="AG55" s="19">
        <v>1</v>
      </c>
      <c r="AH55" s="19">
        <v>1</v>
      </c>
      <c r="AI55" s="19">
        <v>1</v>
      </c>
      <c r="AJ55" s="17"/>
      <c r="AK55" s="16">
        <v>1</v>
      </c>
      <c r="AL55" s="16">
        <v>1</v>
      </c>
      <c r="AM55" s="17"/>
      <c r="AN55" s="16">
        <f>0.5</f>
        <v>0.5</v>
      </c>
      <c r="AO55" s="16">
        <f>0.5</f>
        <v>0.5</v>
      </c>
      <c r="AP55" s="17"/>
    </row>
    <row r="56" spans="1:42" ht="15" customHeight="1" x14ac:dyDescent="0.2">
      <c r="A56" s="10" t="str">
        <f>crop!A56</f>
        <v>Semi-natural field margins as green infrastructures: grass margins</v>
      </c>
      <c r="B56" s="10" t="str">
        <f>crop!B56</f>
        <v>C.14.5</v>
      </c>
      <c r="C56" s="3"/>
      <c r="D56" s="16">
        <f t="shared" si="6"/>
        <v>1.4534441853748634</v>
      </c>
      <c r="E56" s="16">
        <f t="shared" si="3"/>
        <v>1.4534441853748634</v>
      </c>
      <c r="F56" s="16">
        <f t="shared" si="3"/>
        <v>1.4534441853748634</v>
      </c>
      <c r="G56" s="19">
        <v>1</v>
      </c>
      <c r="H56" s="19">
        <v>1</v>
      </c>
      <c r="I56" s="19">
        <v>1</v>
      </c>
      <c r="J56" s="16">
        <f t="shared" si="7"/>
        <v>1.4534441853748634</v>
      </c>
      <c r="K56" s="16">
        <f t="shared" si="4"/>
        <v>1.4534441853748634</v>
      </c>
      <c r="L56" s="16">
        <f t="shared" si="4"/>
        <v>1.4534441853748634</v>
      </c>
      <c r="M56" s="19">
        <v>0.5</v>
      </c>
      <c r="N56" s="19">
        <v>0.5</v>
      </c>
      <c r="O56" s="19">
        <v>0.5</v>
      </c>
      <c r="P56" s="16">
        <f t="shared" si="8"/>
        <v>1.4534441853748634</v>
      </c>
      <c r="Q56" s="16">
        <f t="shared" si="5"/>
        <v>1.4534441853748634</v>
      </c>
      <c r="R56" s="16">
        <f t="shared" si="5"/>
        <v>1.4534441853748634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9">
        <v>1</v>
      </c>
      <c r="AF56" s="19">
        <v>1</v>
      </c>
      <c r="AG56" s="19">
        <v>1</v>
      </c>
      <c r="AH56" s="19">
        <v>0.5</v>
      </c>
      <c r="AI56" s="19">
        <v>0.5</v>
      </c>
      <c r="AJ56" s="17"/>
      <c r="AK56" s="16">
        <v>0.5</v>
      </c>
      <c r="AL56" s="16">
        <v>0.5</v>
      </c>
      <c r="AM56" s="17"/>
      <c r="AN56" s="17"/>
      <c r="AO56" s="17"/>
      <c r="AP56" s="17"/>
    </row>
    <row r="57" spans="1:42" ht="15" customHeight="1" x14ac:dyDescent="0.2">
      <c r="A57" s="3" t="str">
        <f>crop!A57</f>
        <v>No agroforestry</v>
      </c>
      <c r="B57" s="3" t="str">
        <f>crop!B57</f>
        <v>C.15.1</v>
      </c>
      <c r="C57" s="3"/>
      <c r="D57" s="16">
        <f>SQRT(0.8)</f>
        <v>0.89442719099991586</v>
      </c>
      <c r="E57" s="16">
        <v>0.89442719099991586</v>
      </c>
      <c r="F57" s="16">
        <v>0.89442719099991586</v>
      </c>
      <c r="G57" s="19"/>
      <c r="H57" s="19"/>
      <c r="I57" s="19"/>
      <c r="J57" s="16">
        <f>SQRT(0.8)</f>
        <v>0.89442719099991586</v>
      </c>
      <c r="K57" s="16">
        <v>0.89442719099991586</v>
      </c>
      <c r="L57" s="16">
        <v>0.89442719099991586</v>
      </c>
      <c r="M57" s="19"/>
      <c r="N57" s="19"/>
      <c r="O57" s="19"/>
      <c r="P57" s="16">
        <f>SQRT(0.8)</f>
        <v>0.89442719099991586</v>
      </c>
      <c r="Q57" s="16">
        <v>0.89442719099991586</v>
      </c>
      <c r="R57" s="16">
        <v>0.89442719099991586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9"/>
      <c r="AF57" s="19"/>
      <c r="AG57" s="19"/>
      <c r="AH57" s="19"/>
      <c r="AI57" s="19"/>
      <c r="AJ57" s="17"/>
      <c r="AK57" s="16"/>
      <c r="AL57" s="16"/>
      <c r="AM57" s="17"/>
      <c r="AN57" s="17"/>
      <c r="AO57" s="17"/>
      <c r="AP57" s="17"/>
    </row>
    <row r="58" spans="1:42" ht="15" customHeight="1" x14ac:dyDescent="0.2">
      <c r="A58" s="10" t="str">
        <f>crop!A58</f>
        <v>In-field agroforestry</v>
      </c>
      <c r="B58" s="10" t="str">
        <f>crop!B58</f>
        <v>C.15.2</v>
      </c>
      <c r="C58" s="3"/>
      <c r="D58" s="16">
        <f t="shared" si="6"/>
        <v>1.4534441853748634</v>
      </c>
      <c r="E58" s="16">
        <f t="shared" si="3"/>
        <v>1.4534441853748634</v>
      </c>
      <c r="F58" s="16">
        <f t="shared" si="3"/>
        <v>1.4534441853748634</v>
      </c>
      <c r="G58" s="19">
        <v>1</v>
      </c>
      <c r="H58" s="19">
        <v>1</v>
      </c>
      <c r="I58" s="19">
        <v>1</v>
      </c>
      <c r="J58" s="16">
        <f t="shared" si="7"/>
        <v>1.4534441853748634</v>
      </c>
      <c r="K58" s="16">
        <f t="shared" si="4"/>
        <v>1.4534441853748634</v>
      </c>
      <c r="L58" s="16">
        <f t="shared" si="4"/>
        <v>1.4534441853748634</v>
      </c>
      <c r="M58" s="19">
        <v>0.5</v>
      </c>
      <c r="N58" s="19">
        <v>0.5</v>
      </c>
      <c r="O58" s="19">
        <v>0.5</v>
      </c>
      <c r="P58" s="16">
        <f t="shared" si="8"/>
        <v>1.4534441853748634</v>
      </c>
      <c r="Q58" s="16">
        <f t="shared" si="5"/>
        <v>1.4534441853748634</v>
      </c>
      <c r="R58" s="16">
        <f t="shared" si="5"/>
        <v>1.4534441853748634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9">
        <v>1</v>
      </c>
      <c r="AF58" s="19">
        <v>1</v>
      </c>
      <c r="AG58" s="19">
        <v>1</v>
      </c>
      <c r="AH58" s="19">
        <v>1</v>
      </c>
      <c r="AI58" s="19">
        <v>1</v>
      </c>
      <c r="AJ58" s="17"/>
      <c r="AK58" s="16">
        <v>0.5</v>
      </c>
      <c r="AL58" s="16">
        <v>0.5</v>
      </c>
      <c r="AM58" s="17"/>
      <c r="AN58" s="17"/>
      <c r="AO58" s="17"/>
      <c r="AP58" s="17"/>
    </row>
    <row r="59" spans="1:42" ht="15" customHeight="1" x14ac:dyDescent="0.2">
      <c r="A59" s="2" t="str">
        <f>crop!A59</f>
        <v>Balanced strategy between farmer income and investment</v>
      </c>
      <c r="B59" s="2" t="str">
        <f>crop!B59</f>
        <v>E.1.1</v>
      </c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</row>
    <row r="60" spans="1:42" ht="15" customHeight="1" x14ac:dyDescent="0.2">
      <c r="A60" s="2" t="str">
        <f>crop!A60</f>
        <v>Investment-oriented strategy</v>
      </c>
      <c r="B60" s="2" t="str">
        <f>crop!B60</f>
        <v>E.1.2</v>
      </c>
      <c r="C60" s="1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</row>
    <row r="61" spans="1:42" ht="15" customHeight="1" x14ac:dyDescent="0.2">
      <c r="A61" s="10" t="str">
        <f>crop!A61</f>
        <v>Income-oriented strategy</v>
      </c>
      <c r="B61" s="10" t="str">
        <f>crop!B61</f>
        <v>E.1.3</v>
      </c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</row>
    <row r="62" spans="1:42" ht="15" customHeight="1" x14ac:dyDescent="0.2">
      <c r="A62" s="3" t="str">
        <f>crop!A62</f>
        <v>Conventional farming</v>
      </c>
      <c r="B62" s="3" t="str">
        <f>crop!B62</f>
        <v>G.1.1</v>
      </c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</row>
    <row r="63" spans="1:42" ht="15" customHeight="1" x14ac:dyDescent="0.2">
      <c r="A63" s="3" t="str">
        <f>crop!A63</f>
        <v>Organic farming</v>
      </c>
      <c r="B63" s="3" t="str">
        <f>crop!B63</f>
        <v>G.1.2</v>
      </c>
      <c r="C63" s="18"/>
      <c r="D63" s="17"/>
      <c r="E63" s="17"/>
      <c r="F63" s="17"/>
      <c r="G63" s="17">
        <v>0.5</v>
      </c>
      <c r="H63" s="17">
        <v>0.5</v>
      </c>
      <c r="I63" s="17">
        <v>0.5</v>
      </c>
      <c r="J63" s="17"/>
      <c r="K63" s="17"/>
      <c r="L63" s="17"/>
      <c r="M63" s="17">
        <v>0.5</v>
      </c>
      <c r="N63" s="17">
        <v>0.5</v>
      </c>
      <c r="O63" s="17">
        <v>0.5</v>
      </c>
      <c r="P63" s="17"/>
      <c r="Q63" s="17"/>
      <c r="R63" s="17"/>
      <c r="S63" s="17"/>
      <c r="T63" s="17"/>
      <c r="U63" s="17"/>
      <c r="V63" s="19">
        <v>1</v>
      </c>
      <c r="W63" s="19">
        <v>1</v>
      </c>
      <c r="X63" s="19">
        <v>1</v>
      </c>
      <c r="Y63" s="19">
        <v>-0.5</v>
      </c>
      <c r="Z63" s="19">
        <v>-0.5</v>
      </c>
      <c r="AA63" s="19">
        <v>-0.5</v>
      </c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</row>
    <row r="64" spans="1:42" ht="15" customHeight="1" x14ac:dyDescent="0.2">
      <c r="A64" s="7" t="str">
        <f>crop!A64</f>
        <v>Cattle breed is Holstein</v>
      </c>
      <c r="B64" s="7" t="str">
        <f>crop!B64</f>
        <v>A.1.1</v>
      </c>
      <c r="C64" s="1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</row>
    <row r="65" spans="1:42" ht="15" customHeight="1" x14ac:dyDescent="0.2">
      <c r="A65" s="4" t="str">
        <f>crop!A65</f>
        <v>Cattle breed is Siemmental</v>
      </c>
      <c r="B65" s="4" t="str">
        <f>crop!B65</f>
        <v>A.1.2</v>
      </c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spans="1:42" ht="15" customHeight="1" x14ac:dyDescent="0.2">
      <c r="A66" s="15" t="str">
        <f>crop!A66</f>
        <v>Cattle breed is Montbéliarde</v>
      </c>
      <c r="B66" s="6" t="str">
        <f>crop!B66</f>
        <v>A.1.3</v>
      </c>
      <c r="C66" s="1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</row>
    <row r="67" spans="1:42" ht="15" customHeight="1" x14ac:dyDescent="0.2">
      <c r="A67" s="1" t="str">
        <f>crop!A67</f>
        <v>Initial herd size</v>
      </c>
      <c r="B67" s="1" t="str">
        <f>crop!B67</f>
        <v>A.2.1</v>
      </c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</row>
    <row r="68" spans="1:42" ht="15" customHeight="1" x14ac:dyDescent="0.2">
      <c r="A68" s="1" t="str">
        <f>crop!A68</f>
        <v>15% increase of initial herd size (no building modification)</v>
      </c>
      <c r="B68" s="1" t="str">
        <f>crop!B68</f>
        <v>A.2.2</v>
      </c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</row>
    <row r="69" spans="1:42" ht="15" customHeight="1" x14ac:dyDescent="0.2">
      <c r="A69" s="1" t="str">
        <f>crop!A69</f>
        <v>15% increase of initial herd size (building modification)</v>
      </c>
      <c r="B69" s="1" t="str">
        <f>crop!B69</f>
        <v>A.2.3</v>
      </c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</row>
    <row r="70" spans="1:42" ht="15" customHeight="1" x14ac:dyDescent="0.2">
      <c r="A70" s="1" t="str">
        <f>crop!A70</f>
        <v>30% increase of initial herd size (building modification)</v>
      </c>
      <c r="B70" s="1" t="str">
        <f>crop!B70</f>
        <v>A.2.4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</row>
    <row r="71" spans="1:42" ht="15" customHeight="1" x14ac:dyDescent="0.2">
      <c r="A71" s="4" t="str">
        <f>crop!A71</f>
        <v>15% decrease of initial herd size</v>
      </c>
      <c r="B71" s="4" t="str">
        <f>crop!B71</f>
        <v>A.2.5</v>
      </c>
      <c r="C71" s="1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</row>
    <row r="72" spans="1:42" ht="15" customHeight="1" x14ac:dyDescent="0.2">
      <c r="A72" s="6" t="str">
        <f>crop!A72</f>
        <v>30% decrease of initial herd size</v>
      </c>
      <c r="B72" s="6" t="str">
        <f>crop!B72</f>
        <v>A.2.6</v>
      </c>
      <c r="C72" s="1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</row>
    <row r="73" spans="1:42" ht="15" customHeight="1" x14ac:dyDescent="0.2">
      <c r="A73" s="1" t="str">
        <f>crop!A73</f>
        <v>Bulls fattened up to 18 months</v>
      </c>
      <c r="B73" s="1" t="str">
        <f>crop!B73</f>
        <v>A.3.1</v>
      </c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</row>
    <row r="74" spans="1:42" ht="15" customHeight="1" x14ac:dyDescent="0.2">
      <c r="A74" s="1" t="str">
        <f>crop!A74</f>
        <v>Castrated males fattened up to 36 months (steer)</v>
      </c>
      <c r="B74" s="1" t="str">
        <f>crop!B74</f>
        <v>A.3.2</v>
      </c>
      <c r="C74" s="1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</row>
    <row r="75" spans="1:42" ht="15" customHeight="1" x14ac:dyDescent="0.2">
      <c r="A75" s="6" t="str">
        <f>crop!A75</f>
        <v>Male calves sold at 8 days</v>
      </c>
      <c r="B75" s="6" t="str">
        <f>crop!B75</f>
        <v>A.3.3</v>
      </c>
      <c r="C75" s="1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</row>
    <row r="76" spans="1:42" ht="15" customHeight="1" x14ac:dyDescent="0.2">
      <c r="A76" s="1" t="str">
        <f>crop!A76</f>
        <v>Cows are tied on straw bedding</v>
      </c>
      <c r="B76" s="1" t="str">
        <f>crop!B76</f>
        <v>A.4.1</v>
      </c>
      <c r="C76" s="18"/>
      <c r="D76" s="16">
        <f t="shared" ref="D76:F77" si="9">SQRT(1.1)</f>
        <v>1.0488088481701516</v>
      </c>
      <c r="E76" s="16">
        <f t="shared" si="9"/>
        <v>1.0488088481701516</v>
      </c>
      <c r="F76" s="16">
        <f t="shared" si="9"/>
        <v>1.0488088481701516</v>
      </c>
      <c r="G76" s="17"/>
      <c r="H76" s="17"/>
      <c r="I76" s="17"/>
      <c r="J76" s="16">
        <f t="shared" ref="J76:L77" si="10">SQRT(1.1)</f>
        <v>1.0488088481701516</v>
      </c>
      <c r="K76" s="16">
        <f t="shared" si="10"/>
        <v>1.0488088481701516</v>
      </c>
      <c r="L76" s="16">
        <f t="shared" si="10"/>
        <v>1.0488088481701516</v>
      </c>
      <c r="M76" s="17"/>
      <c r="N76" s="17"/>
      <c r="O76" s="17"/>
      <c r="P76" s="16"/>
      <c r="Q76" s="16"/>
      <c r="R76" s="16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</row>
    <row r="77" spans="1:42" ht="15" customHeight="1" x14ac:dyDescent="0.2">
      <c r="A77" s="1" t="str">
        <f>crop!A77</f>
        <v>Housing of cows is cubicles with straw (shallow bedding)</v>
      </c>
      <c r="B77" s="1" t="str">
        <f>crop!B77</f>
        <v>A.4.2</v>
      </c>
      <c r="C77" s="18"/>
      <c r="D77" s="16">
        <f t="shared" si="9"/>
        <v>1.0488088481701516</v>
      </c>
      <c r="E77" s="16">
        <f t="shared" si="9"/>
        <v>1.0488088481701516</v>
      </c>
      <c r="F77" s="16">
        <f t="shared" si="9"/>
        <v>1.0488088481701516</v>
      </c>
      <c r="G77" s="17"/>
      <c r="H77" s="17"/>
      <c r="I77" s="17"/>
      <c r="J77" s="16">
        <f t="shared" si="10"/>
        <v>1.0488088481701516</v>
      </c>
      <c r="K77" s="16">
        <f t="shared" si="10"/>
        <v>1.0488088481701516</v>
      </c>
      <c r="L77" s="16">
        <f t="shared" si="10"/>
        <v>1.0488088481701516</v>
      </c>
      <c r="M77" s="17"/>
      <c r="N77" s="17"/>
      <c r="O77" s="17"/>
      <c r="P77" s="16"/>
      <c r="Q77" s="16"/>
      <c r="R77" s="16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</row>
    <row r="78" spans="1:42" ht="15" customHeight="1" x14ac:dyDescent="0.2">
      <c r="A78" s="1" t="str">
        <f>crop!A78</f>
        <v>Housing of cows is cubicles with slatted floor</v>
      </c>
      <c r="B78" s="1" t="str">
        <f>crop!B78</f>
        <v>A.4.3</v>
      </c>
      <c r="C78" s="18"/>
      <c r="D78" s="16">
        <f t="shared" ref="D78:F81" si="11">SQRT(1.02)</f>
        <v>1.0099504938362078</v>
      </c>
      <c r="E78" s="16">
        <f t="shared" si="11"/>
        <v>1.0099504938362078</v>
      </c>
      <c r="F78" s="16">
        <f t="shared" si="11"/>
        <v>1.0099504938362078</v>
      </c>
      <c r="G78" s="17"/>
      <c r="H78" s="17"/>
      <c r="I78" s="17"/>
      <c r="J78" s="16">
        <f t="shared" ref="J78:L81" si="12">SQRT(1.02)</f>
        <v>1.0099504938362078</v>
      </c>
      <c r="K78" s="16">
        <f t="shared" si="12"/>
        <v>1.0099504938362078</v>
      </c>
      <c r="L78" s="16">
        <f t="shared" si="12"/>
        <v>1.0099504938362078</v>
      </c>
      <c r="M78" s="17"/>
      <c r="N78" s="17"/>
      <c r="O78" s="17"/>
      <c r="P78" s="16"/>
      <c r="Q78" s="16"/>
      <c r="R78" s="16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</row>
    <row r="79" spans="1:42" ht="15" customHeight="1" x14ac:dyDescent="0.2">
      <c r="A79" s="1" t="str">
        <f>crop!A79</f>
        <v>Housing of cows is free-stall (deep bedding)</v>
      </c>
      <c r="B79" s="1" t="str">
        <f>crop!B79</f>
        <v>A.4.4</v>
      </c>
      <c r="C79" s="18"/>
      <c r="D79" s="16">
        <f t="shared" si="11"/>
        <v>1.0099504938362078</v>
      </c>
      <c r="E79" s="16">
        <f t="shared" si="11"/>
        <v>1.0099504938362078</v>
      </c>
      <c r="F79" s="16">
        <f t="shared" si="11"/>
        <v>1.0099504938362078</v>
      </c>
      <c r="G79" s="17"/>
      <c r="H79" s="17"/>
      <c r="I79" s="17"/>
      <c r="J79" s="16">
        <f t="shared" si="12"/>
        <v>1.0099504938362078</v>
      </c>
      <c r="K79" s="16">
        <f t="shared" si="12"/>
        <v>1.0099504938362078</v>
      </c>
      <c r="L79" s="16">
        <f t="shared" si="12"/>
        <v>1.0099504938362078</v>
      </c>
      <c r="M79" s="17"/>
      <c r="N79" s="17"/>
      <c r="O79" s="17"/>
      <c r="P79" s="16"/>
      <c r="Q79" s="16"/>
      <c r="R79" s="16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</row>
    <row r="80" spans="1:42" ht="15" customHeight="1" x14ac:dyDescent="0.2">
      <c r="A80" s="6" t="str">
        <f>crop!A80</f>
        <v>Housing of cows is free-stall slatted floor</v>
      </c>
      <c r="B80" s="6" t="str">
        <f>crop!B80</f>
        <v>A.4.5</v>
      </c>
      <c r="C80" s="18"/>
      <c r="D80" s="16">
        <f t="shared" si="11"/>
        <v>1.0099504938362078</v>
      </c>
      <c r="E80" s="16">
        <f t="shared" si="11"/>
        <v>1.0099504938362078</v>
      </c>
      <c r="F80" s="16">
        <f t="shared" si="11"/>
        <v>1.0099504938362078</v>
      </c>
      <c r="G80" s="17"/>
      <c r="H80" s="17"/>
      <c r="I80" s="17"/>
      <c r="J80" s="16">
        <f t="shared" si="12"/>
        <v>1.0099504938362078</v>
      </c>
      <c r="K80" s="16">
        <f t="shared" si="12"/>
        <v>1.0099504938362078</v>
      </c>
      <c r="L80" s="16">
        <f t="shared" si="12"/>
        <v>1.0099504938362078</v>
      </c>
      <c r="M80" s="17"/>
      <c r="N80" s="17"/>
      <c r="O80" s="17"/>
      <c r="P80" s="16"/>
      <c r="Q80" s="16"/>
      <c r="R80" s="16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</row>
    <row r="81" spans="1:42" ht="15" customHeight="1" x14ac:dyDescent="0.2">
      <c r="A81" s="1" t="str">
        <f>crop!A81</f>
        <v>Housing of heifer, bulls and steers is slatted floor</v>
      </c>
      <c r="B81" s="1" t="str">
        <f>crop!B81</f>
        <v>A.5.1</v>
      </c>
      <c r="C81" s="18"/>
      <c r="D81" s="16">
        <f t="shared" si="11"/>
        <v>1.0099504938362078</v>
      </c>
      <c r="E81" s="16">
        <f t="shared" si="11"/>
        <v>1.0099504938362078</v>
      </c>
      <c r="F81" s="16">
        <f t="shared" si="11"/>
        <v>1.0099504938362078</v>
      </c>
      <c r="G81" s="17"/>
      <c r="H81" s="17"/>
      <c r="I81" s="17"/>
      <c r="J81" s="16">
        <f t="shared" si="12"/>
        <v>1.0099504938362078</v>
      </c>
      <c r="K81" s="16">
        <f t="shared" si="12"/>
        <v>1.0099504938362078</v>
      </c>
      <c r="L81" s="16">
        <f t="shared" si="12"/>
        <v>1.0099504938362078</v>
      </c>
      <c r="M81" s="17"/>
      <c r="N81" s="17"/>
      <c r="O81" s="17"/>
      <c r="P81" s="16"/>
      <c r="Q81" s="16"/>
      <c r="R81" s="16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</row>
    <row r="82" spans="1:42" ht="15" customHeight="1" x14ac:dyDescent="0.2">
      <c r="A82" s="1" t="str">
        <f>crop!A82</f>
        <v>Housing of heifer, bulls and steers is shallow bedding</v>
      </c>
      <c r="B82" s="1" t="str">
        <f>crop!B82</f>
        <v>A.5.2</v>
      </c>
      <c r="C82" s="18"/>
      <c r="D82" s="16">
        <f t="shared" ref="D82:F83" si="13">SQRT(1.1)</f>
        <v>1.0488088481701516</v>
      </c>
      <c r="E82" s="16">
        <f t="shared" si="13"/>
        <v>1.0488088481701516</v>
      </c>
      <c r="F82" s="16">
        <f t="shared" si="13"/>
        <v>1.0488088481701516</v>
      </c>
      <c r="G82" s="17"/>
      <c r="H82" s="17"/>
      <c r="I82" s="17"/>
      <c r="J82" s="16">
        <f t="shared" ref="J82:L83" si="14">SQRT(1.1)</f>
        <v>1.0488088481701516</v>
      </c>
      <c r="K82" s="16">
        <f t="shared" si="14"/>
        <v>1.0488088481701516</v>
      </c>
      <c r="L82" s="16">
        <f t="shared" si="14"/>
        <v>1.0488088481701516</v>
      </c>
      <c r="M82" s="17"/>
      <c r="N82" s="17"/>
      <c r="O82" s="17"/>
      <c r="P82" s="16"/>
      <c r="Q82" s="16"/>
      <c r="R82" s="16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</row>
    <row r="83" spans="1:42" ht="15" customHeight="1" x14ac:dyDescent="0.2">
      <c r="A83" s="6" t="str">
        <f>crop!A83</f>
        <v>Housing of heifer, bulls and steers is deep bedding</v>
      </c>
      <c r="B83" s="6" t="str">
        <f>crop!B83</f>
        <v>A.5.3</v>
      </c>
      <c r="C83" s="18"/>
      <c r="D83" s="16">
        <f t="shared" si="13"/>
        <v>1.0488088481701516</v>
      </c>
      <c r="E83" s="16">
        <f t="shared" si="13"/>
        <v>1.0488088481701516</v>
      </c>
      <c r="F83" s="16">
        <f t="shared" si="13"/>
        <v>1.0488088481701516</v>
      </c>
      <c r="G83" s="17"/>
      <c r="H83" s="17"/>
      <c r="I83" s="17"/>
      <c r="J83" s="16">
        <f t="shared" si="14"/>
        <v>1.0488088481701516</v>
      </c>
      <c r="K83" s="16">
        <f t="shared" si="14"/>
        <v>1.0488088481701516</v>
      </c>
      <c r="L83" s="16">
        <f t="shared" si="14"/>
        <v>1.0488088481701516</v>
      </c>
      <c r="M83" s="17"/>
      <c r="N83" s="17"/>
      <c r="O83" s="17"/>
      <c r="P83" s="16"/>
      <c r="Q83" s="16"/>
      <c r="R83" s="16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</row>
    <row r="84" spans="1:42" ht="15" customHeight="1" x14ac:dyDescent="0.2">
      <c r="A84" s="1" t="str">
        <f>crop!A84</f>
        <v>Cow feeding system: all year indoor, maize silage &amp; soybean meal supplement</v>
      </c>
      <c r="B84" s="1" t="str">
        <f>crop!B84</f>
        <v>A.6.1</v>
      </c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</row>
    <row r="85" spans="1:42" ht="15" customHeight="1" x14ac:dyDescent="0.2">
      <c r="A85" s="1" t="str">
        <f>crop!A85</f>
        <v>Cow feeding system: all year indoor, sorghum silage &amp; soybean meal supplement</v>
      </c>
      <c r="B85" s="1" t="str">
        <f>crop!B85</f>
        <v>A.6.2</v>
      </c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</row>
    <row r="86" spans="1:42" ht="15" customHeight="1" x14ac:dyDescent="0.2">
      <c r="A86" s="1" t="str">
        <f>crop!A86</f>
        <v>Cow feeding system: all year indoor, sorghum &amp; alfalfa silage</v>
      </c>
      <c r="B86" s="1" t="str">
        <f>crop!B86</f>
        <v>A.6.3</v>
      </c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</row>
    <row r="87" spans="1:42" ht="15" customHeight="1" x14ac:dyDescent="0.2">
      <c r="A87" s="1" t="str">
        <f>crop!A87</f>
        <v>Cow feeding system: all year indoor, maize silage, alfalfa silage &amp; soybean meal supplement</v>
      </c>
      <c r="B87" s="1" t="str">
        <f>crop!B87</f>
        <v>A.6.4</v>
      </c>
      <c r="C87" s="1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</row>
    <row r="88" spans="1:42" ht="15" customHeight="1" x14ac:dyDescent="0.2">
      <c r="A88" s="1" t="str">
        <f>crop!A88</f>
        <v>Cow feeding system: 4 months grazing &amp; soybean meal supplement</v>
      </c>
      <c r="B88" s="1" t="str">
        <f>crop!B88</f>
        <v>A.6.5</v>
      </c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</row>
    <row r="89" spans="1:42" ht="15" customHeight="1" x14ac:dyDescent="0.2">
      <c r="A89" s="1" t="str">
        <f>crop!A89</f>
        <v>Cow feeding system: 4 months grazing &amp; rapeseed meal supplement</v>
      </c>
      <c r="B89" s="1" t="str">
        <f>crop!B89</f>
        <v>A.6.6</v>
      </c>
      <c r="C89" s="1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</row>
    <row r="90" spans="1:42" ht="15" customHeight="1" x14ac:dyDescent="0.2">
      <c r="A90" s="1" t="str">
        <f>crop!A90</f>
        <v>Cow feeding system: 5 months grazing &amp; rapeseed meal supplement</v>
      </c>
      <c r="B90" s="1" t="str">
        <f>crop!B90</f>
        <v>A.6.7</v>
      </c>
      <c r="C90" s="1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</row>
    <row r="91" spans="1:42" ht="15" customHeight="1" x14ac:dyDescent="0.2">
      <c r="A91" s="1" t="str">
        <f>crop!A91</f>
        <v>Cow feeding system: 7 months grazing &amp; rapeseed meal supplement</v>
      </c>
      <c r="B91" s="1" t="str">
        <f>crop!B91</f>
        <v>A.6.8</v>
      </c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</row>
    <row r="92" spans="1:42" ht="15" customHeight="1" x14ac:dyDescent="0.2">
      <c r="A92" s="1" t="str">
        <f>crop!A92</f>
        <v>Cow feeding system: 8 months grazing &amp; faba bean supplement</v>
      </c>
      <c r="B92" s="1" t="str">
        <f>crop!B92</f>
        <v>A.6.9</v>
      </c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</row>
    <row r="93" spans="1:42" ht="15" customHeight="1" x14ac:dyDescent="0.2">
      <c r="A93" s="1" t="str">
        <f>crop!A93</f>
        <v>Cow feeding system: all year indoor, hay &amp; rapeseed meal supplement</v>
      </c>
      <c r="B93" s="1" t="str">
        <f>crop!B93</f>
        <v>A.6.10</v>
      </c>
      <c r="C93" s="1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</row>
    <row r="94" spans="1:42" ht="15" customHeight="1" x14ac:dyDescent="0.2">
      <c r="A94" s="6" t="str">
        <f>crop!A94</f>
        <v>Cow feeding system: 9 months grazing, without protein feed supplement</v>
      </c>
      <c r="B94" s="6" t="str">
        <f>crop!B94</f>
        <v>A.6.11</v>
      </c>
      <c r="C94" s="1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</row>
    <row r="95" spans="1:42" ht="15" customHeight="1" x14ac:dyDescent="0.2">
      <c r="A95" s="2" t="str">
        <f>crop!A95</f>
        <v>No concentrate supply for lactating dairy cows</v>
      </c>
      <c r="B95" s="1" t="str">
        <f>crop!B95</f>
        <v>A.7.1</v>
      </c>
      <c r="C95" s="1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</row>
    <row r="96" spans="1:42" ht="15" customHeight="1" x14ac:dyDescent="0.2">
      <c r="A96" s="2" t="str">
        <f>crop!A96</f>
        <v>+1000 kg / cow / year with soybean meal and cereals</v>
      </c>
      <c r="B96" s="1" t="str">
        <f>crop!B96</f>
        <v>A.7.2</v>
      </c>
      <c r="C96" s="1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</row>
    <row r="97" spans="1:42" ht="15" customHeight="1" x14ac:dyDescent="0.2">
      <c r="A97" s="2" t="str">
        <f>crop!A97</f>
        <v>+500 kg / cow / year with soybean meal and cereals</v>
      </c>
      <c r="B97" s="1" t="str">
        <f>crop!B97</f>
        <v>A.7.3</v>
      </c>
      <c r="C97" s="1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</row>
    <row r="98" spans="1:42" ht="15" customHeight="1" x14ac:dyDescent="0.2">
      <c r="A98" s="10" t="str">
        <f>crop!A98</f>
        <v>+500 kg / cow / year with faba bean and cereals</v>
      </c>
      <c r="B98" s="6" t="str">
        <f>crop!B98</f>
        <v>A.7.4</v>
      </c>
      <c r="C98" s="1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</row>
    <row r="99" spans="1:42" ht="15" customHeight="1" x14ac:dyDescent="0.2">
      <c r="A99" s="2" t="str">
        <f>crop!A99</f>
        <v>Heifer feeding system: zero grazing / maize silage + soybean meal | Age at first calving: 24 months</v>
      </c>
      <c r="B99" s="1" t="str">
        <f>crop!B99</f>
        <v>A.8.1</v>
      </c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</row>
    <row r="100" spans="1:42" ht="15" customHeight="1" x14ac:dyDescent="0.2">
      <c r="A100" s="2" t="str">
        <f>crop!A100</f>
        <v>Heifer feeding system: 4 months grazing / 8 months maize silage + hay + soybean meal | Age at first calving: 24 months</v>
      </c>
      <c r="B100" s="1" t="str">
        <f>crop!B100</f>
        <v>A.8.2</v>
      </c>
      <c r="C100" s="1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</row>
    <row r="101" spans="1:42" ht="15" customHeight="1" x14ac:dyDescent="0.2">
      <c r="A101" s="2" t="str">
        <f>crop!A101</f>
        <v>Heifer feeding system: 6 months grazing / 6 months maize silage + grass silage (or hay) + soybean meal | Age at first calving: 24 months</v>
      </c>
      <c r="B101" s="1" t="str">
        <f>crop!B101</f>
        <v>A.8.3</v>
      </c>
      <c r="C101" s="1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</row>
    <row r="102" spans="1:42" ht="15" customHeight="1" x14ac:dyDescent="0.2">
      <c r="A102" s="2" t="str">
        <f>crop!A102</f>
        <v>Heifer feeding system: 6 months grazing / 6 months grass silage (or hay) + cereals + soybean meal | Age at first calving: 24 months</v>
      </c>
      <c r="B102" s="1" t="str">
        <f>crop!B102</f>
        <v>A.8.4</v>
      </c>
      <c r="C102" s="1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</row>
    <row r="103" spans="1:42" ht="15" customHeight="1" x14ac:dyDescent="0.2">
      <c r="A103" s="2" t="str">
        <f>crop!A103</f>
        <v>Heifer feeding system: zero grazing / maize silage + soybean meal | Age at first calving: 29 months</v>
      </c>
      <c r="B103" s="1" t="str">
        <f>crop!B103</f>
        <v>A.8.5</v>
      </c>
      <c r="C103" s="1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</row>
    <row r="104" spans="1:42" ht="15" customHeight="1" x14ac:dyDescent="0.2">
      <c r="A104" s="2" t="str">
        <f>crop!A104</f>
        <v>Heifer feeding system: 4 months grazing / 8 months maize silage + hay + soybean meal | Age at first calving: 29 months</v>
      </c>
      <c r="B104" s="1" t="str">
        <f>crop!B104</f>
        <v>A.8.6</v>
      </c>
      <c r="C104" s="1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</row>
    <row r="105" spans="1:42" ht="15" customHeight="1" x14ac:dyDescent="0.2">
      <c r="A105" s="2" t="str">
        <f>crop!A105</f>
        <v>Heifer feeding system: 6 months grazing / 6 months maize silage + grass silage (or hay) + soybean meal | Age at first calving: 29 months</v>
      </c>
      <c r="B105" s="1" t="str">
        <f>crop!B105</f>
        <v>A.8.7</v>
      </c>
      <c r="C105" s="1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</row>
    <row r="106" spans="1:42" ht="15" customHeight="1" x14ac:dyDescent="0.2">
      <c r="A106" s="10" t="str">
        <f>crop!A106</f>
        <v>Heifer feeding system: 6 months grazing / 6 months grass silage (or hay) + cereals + soybean meal | Age at first calving: 29 months</v>
      </c>
      <c r="B106" s="6" t="str">
        <f>crop!B106</f>
        <v>A.8.8</v>
      </c>
      <c r="C106" s="1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</row>
    <row r="107" spans="1:42" ht="15" customHeight="1" x14ac:dyDescent="0.2">
      <c r="A107" s="2" t="str">
        <f>crop!A107</f>
        <v>Systematic antibiotic treatment of cows</v>
      </c>
      <c r="B107" s="1" t="str">
        <f>crop!B107</f>
        <v>A.9.1</v>
      </c>
      <c r="C107" s="1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</row>
    <row r="108" spans="1:42" ht="15" customHeight="1" x14ac:dyDescent="0.2">
      <c r="A108" s="2" t="str">
        <f>crop!A108</f>
        <v>Selective antibiotic treatment of cows</v>
      </c>
      <c r="B108" s="1" t="str">
        <f>crop!B108</f>
        <v>A.9.2</v>
      </c>
      <c r="C108" s="1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</row>
    <row r="109" spans="1:42" ht="15" customHeight="1" x14ac:dyDescent="0.2">
      <c r="A109" s="10" t="str">
        <f>crop!A109</f>
        <v>Preventive measures of hygiene of the housing conditions (no treatment of cows)</v>
      </c>
      <c r="B109" s="6" t="str">
        <f>crop!B109</f>
        <v>A.9.3</v>
      </c>
      <c r="C109" s="1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</row>
    <row r="110" spans="1:42" ht="15" customHeight="1" x14ac:dyDescent="0.2">
      <c r="A110" s="2" t="str">
        <f>crop!A110</f>
        <v>Systematic anti-parasitic treatment of heifers</v>
      </c>
      <c r="B110" s="1" t="str">
        <f>crop!B110</f>
        <v>A.10.1</v>
      </c>
      <c r="C110" s="18"/>
      <c r="D110" s="17"/>
      <c r="E110" s="17"/>
      <c r="F110" s="17"/>
      <c r="G110" s="17"/>
      <c r="H110" s="17"/>
      <c r="I110" s="17"/>
      <c r="J110" s="16">
        <v>0.92</v>
      </c>
      <c r="K110" s="16">
        <v>0.92</v>
      </c>
      <c r="L110" s="16">
        <v>0.92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</row>
    <row r="111" spans="1:42" ht="15" customHeight="1" x14ac:dyDescent="0.2">
      <c r="A111" s="2" t="str">
        <f>crop!A111</f>
        <v>Selective/targeted treatment of heifers shedding high amounts of parasites</v>
      </c>
      <c r="B111" s="1" t="str">
        <f>crop!B111</f>
        <v>A.10.2</v>
      </c>
      <c r="C111" s="18"/>
      <c r="D111" s="17"/>
      <c r="E111" s="17"/>
      <c r="F111" s="17"/>
      <c r="G111" s="17"/>
      <c r="H111" s="17"/>
      <c r="I111" s="17"/>
      <c r="J111" s="16">
        <v>0.96</v>
      </c>
      <c r="K111" s="16">
        <v>0.96</v>
      </c>
      <c r="L111" s="16">
        <v>0.96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</row>
    <row r="112" spans="1:42" ht="15" customHeight="1" x14ac:dyDescent="0.2">
      <c r="A112" s="10" t="str">
        <f>crop!A112</f>
        <v>Immunization against internal parasites by low exposure grazing of heifers (no treatment)</v>
      </c>
      <c r="B112" s="6" t="str">
        <f>crop!B112</f>
        <v>A.10.3</v>
      </c>
      <c r="C112" s="18"/>
      <c r="D112" s="17"/>
      <c r="E112" s="17"/>
      <c r="F112" s="17"/>
      <c r="G112" s="17"/>
      <c r="H112" s="17"/>
      <c r="I112" s="17"/>
      <c r="J112" s="16"/>
      <c r="K112" s="16"/>
      <c r="L112" s="16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</row>
    <row r="113" spans="1:42" ht="15" customHeight="1" x14ac:dyDescent="0.2">
      <c r="A113" s="2" t="str">
        <f>crop!A113</f>
        <v>Milk replacer is fed to calves</v>
      </c>
      <c r="B113" s="1" t="str">
        <f>crop!B113</f>
        <v>A.11.1</v>
      </c>
      <c r="C113" s="1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</row>
    <row r="114" spans="1:42" ht="15" customHeight="1" x14ac:dyDescent="0.2">
      <c r="A114" s="10" t="str">
        <f>crop!A114</f>
        <v>Milk is fed to calves</v>
      </c>
      <c r="B114" s="6" t="str">
        <f>crop!B114</f>
        <v>A.11.2</v>
      </c>
      <c r="C114" s="1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</row>
    <row r="115" spans="1:42" ht="15" customHeight="1" x14ac:dyDescent="0.2">
      <c r="C115" s="4"/>
      <c r="G115" s="3"/>
      <c r="H115" s="3"/>
      <c r="I115" s="3"/>
    </row>
    <row r="116" spans="1:42" ht="15" customHeight="1" x14ac:dyDescent="0.2">
      <c r="A116" s="7" t="str">
        <f>crop!A116</f>
        <v>CS #1: maize - wheat - barley</v>
      </c>
      <c r="B116" s="7" t="str">
        <f>crop!B116</f>
        <v>C.12.1.be</v>
      </c>
      <c r="D116" s="16"/>
      <c r="E116" s="17"/>
      <c r="F116" s="17"/>
      <c r="G116" s="19">
        <v>-1</v>
      </c>
      <c r="H116" s="17"/>
      <c r="I116" s="17"/>
      <c r="J116" s="16"/>
      <c r="K116" s="17"/>
      <c r="L116" s="17"/>
      <c r="M116" s="17"/>
      <c r="N116" s="17"/>
      <c r="O116" s="17"/>
      <c r="P116" s="16"/>
      <c r="Q116" s="17"/>
      <c r="R116" s="17"/>
      <c r="S116" s="17"/>
      <c r="T116" s="17"/>
      <c r="U116" s="17"/>
      <c r="V116" s="17"/>
      <c r="W116" s="17"/>
      <c r="X116" s="17"/>
      <c r="Y116" s="19">
        <v>-2</v>
      </c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</row>
    <row r="117" spans="1:42" ht="15" customHeight="1" x14ac:dyDescent="0.2">
      <c r="A117" s="4" t="str">
        <f>crop!A117</f>
        <v>CS #1: sugar beet - wheat - potato - wheat</v>
      </c>
      <c r="B117" s="4" t="str">
        <f>crop!B117</f>
        <v>C.12.2.be</v>
      </c>
      <c r="D117" s="16">
        <v>1.02</v>
      </c>
      <c r="E117" s="17"/>
      <c r="F117" s="17"/>
      <c r="G117" s="17"/>
      <c r="H117" s="17"/>
      <c r="I117" s="17"/>
      <c r="J117" s="17">
        <v>1.02</v>
      </c>
      <c r="K117" s="17"/>
      <c r="L117" s="17"/>
      <c r="M117" s="17"/>
      <c r="N117" s="17"/>
      <c r="O117" s="17"/>
      <c r="P117" s="17">
        <v>1.02</v>
      </c>
      <c r="Q117" s="17"/>
      <c r="R117" s="17"/>
      <c r="S117" s="17"/>
      <c r="T117" s="17"/>
      <c r="U117" s="17"/>
      <c r="V117" s="17"/>
      <c r="W117" s="17"/>
      <c r="X117" s="17"/>
      <c r="Y117" s="19">
        <v>-2</v>
      </c>
      <c r="Z117" s="17"/>
      <c r="AA117" s="17"/>
      <c r="AB117" s="17"/>
      <c r="AC117" s="17"/>
      <c r="AD117" s="17"/>
      <c r="AE117" s="17">
        <v>0.5</v>
      </c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</row>
    <row r="118" spans="1:42" ht="15" customHeight="1" x14ac:dyDescent="0.2">
      <c r="A118" s="4" t="str">
        <f>crop!A118</f>
        <v>CS #1: potato - wheat - rapeseed - wheat</v>
      </c>
      <c r="B118" s="4" t="str">
        <f>crop!B118</f>
        <v>C.12.3.be</v>
      </c>
      <c r="D118" s="16">
        <v>1.02</v>
      </c>
      <c r="E118" s="17"/>
      <c r="F118" s="17"/>
      <c r="G118" s="17"/>
      <c r="H118" s="17"/>
      <c r="I118" s="17"/>
      <c r="J118" s="17">
        <v>1.02</v>
      </c>
      <c r="K118" s="17"/>
      <c r="L118" s="17"/>
      <c r="M118" s="17"/>
      <c r="N118" s="17"/>
      <c r="O118" s="17"/>
      <c r="P118" s="17">
        <v>1.02</v>
      </c>
      <c r="Q118" s="17"/>
      <c r="R118" s="17"/>
      <c r="S118" s="17"/>
      <c r="T118" s="17"/>
      <c r="U118" s="17"/>
      <c r="V118" s="17"/>
      <c r="W118" s="17"/>
      <c r="X118" s="17"/>
      <c r="Y118" s="19">
        <v>-2</v>
      </c>
      <c r="Z118" s="17"/>
      <c r="AA118" s="17"/>
      <c r="AB118" s="17"/>
      <c r="AC118" s="17"/>
      <c r="AD118" s="17"/>
      <c r="AE118" s="17">
        <v>0.5</v>
      </c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</row>
    <row r="119" spans="1:42" ht="15" customHeight="1" x14ac:dyDescent="0.2">
      <c r="A119" s="4" t="str">
        <f>crop!A119</f>
        <v>CS #1: alfalfa (3 years) - maize - wheat</v>
      </c>
      <c r="B119" s="4" t="str">
        <f>crop!B119</f>
        <v>C.12.4.be</v>
      </c>
      <c r="D119" s="16">
        <v>1.04</v>
      </c>
      <c r="E119" s="17"/>
      <c r="F119" s="17"/>
      <c r="G119" s="19">
        <v>1</v>
      </c>
      <c r="H119" s="17"/>
      <c r="I119" s="17"/>
      <c r="J119" s="17">
        <v>1.04</v>
      </c>
      <c r="K119" s="17"/>
      <c r="L119" s="17"/>
      <c r="M119" s="19">
        <v>1</v>
      </c>
      <c r="N119" s="17"/>
      <c r="O119" s="17"/>
      <c r="P119" s="17">
        <v>1.04</v>
      </c>
      <c r="Q119" s="17"/>
      <c r="R119" s="17"/>
      <c r="S119" s="17"/>
      <c r="T119" s="17"/>
      <c r="U119" s="17"/>
      <c r="V119" s="19">
        <v>1</v>
      </c>
      <c r="W119" s="17"/>
      <c r="X119" s="17"/>
      <c r="Y119" s="19">
        <v>-1</v>
      </c>
      <c r="Z119" s="17"/>
      <c r="AA119" s="17"/>
      <c r="AB119" s="17"/>
      <c r="AC119" s="17"/>
      <c r="AD119" s="17"/>
      <c r="AE119" s="17">
        <v>0.5</v>
      </c>
      <c r="AF119" s="17"/>
      <c r="AG119" s="17"/>
      <c r="AH119" s="17"/>
      <c r="AI119" s="17"/>
      <c r="AJ119" s="17"/>
      <c r="AK119" s="17"/>
      <c r="AL119" s="17"/>
      <c r="AM119" s="17"/>
      <c r="AN119" s="16">
        <f>0.5</f>
        <v>0.5</v>
      </c>
      <c r="AO119" s="17"/>
      <c r="AP119" s="17"/>
    </row>
    <row r="120" spans="1:42" ht="15" customHeight="1" x14ac:dyDescent="0.2">
      <c r="A120" s="4" t="str">
        <f>crop!A120</f>
        <v>CS #1: potato - wheat - rapeseed - faba bean - wheat</v>
      </c>
      <c r="B120" s="4" t="str">
        <f>crop!B120</f>
        <v>C.12.5.be</v>
      </c>
      <c r="D120" s="16">
        <v>1.04</v>
      </c>
      <c r="E120" s="17"/>
      <c r="F120" s="17"/>
      <c r="G120" s="19">
        <v>1</v>
      </c>
      <c r="H120" s="17"/>
      <c r="I120" s="17"/>
      <c r="J120" s="17">
        <v>1.04</v>
      </c>
      <c r="K120" s="17"/>
      <c r="L120" s="17"/>
      <c r="M120" s="19">
        <v>1</v>
      </c>
      <c r="N120" s="17"/>
      <c r="O120" s="17"/>
      <c r="P120" s="17">
        <v>1.04</v>
      </c>
      <c r="Q120" s="17"/>
      <c r="R120" s="17"/>
      <c r="S120" s="17"/>
      <c r="T120" s="17"/>
      <c r="U120" s="17"/>
      <c r="V120" s="19">
        <v>1</v>
      </c>
      <c r="W120" s="17"/>
      <c r="X120" s="17"/>
      <c r="Y120" s="19">
        <v>-1</v>
      </c>
      <c r="Z120" s="17"/>
      <c r="AA120" s="17"/>
      <c r="AB120" s="17"/>
      <c r="AC120" s="17"/>
      <c r="AD120" s="17"/>
      <c r="AE120" s="17">
        <v>0.5</v>
      </c>
      <c r="AF120" s="17"/>
      <c r="AG120" s="17"/>
      <c r="AH120" s="17"/>
      <c r="AI120" s="17"/>
      <c r="AJ120" s="17"/>
      <c r="AK120" s="17"/>
      <c r="AL120" s="17"/>
      <c r="AM120" s="17"/>
      <c r="AN120" s="16">
        <f>0.5</f>
        <v>0.5</v>
      </c>
      <c r="AO120" s="17"/>
      <c r="AP120" s="17"/>
    </row>
    <row r="121" spans="1:42" ht="15" customHeight="1" x14ac:dyDescent="0.2">
      <c r="A121" s="4" t="str">
        <f>crop!A121</f>
        <v>CS #1: grassland (3 years) - maize - wheat</v>
      </c>
      <c r="B121" s="4" t="str">
        <f>crop!B121</f>
        <v>C.12.6.be</v>
      </c>
      <c r="D121" s="16">
        <v>1.03</v>
      </c>
      <c r="E121" s="17"/>
      <c r="F121" s="17"/>
      <c r="G121" s="19">
        <v>1</v>
      </c>
      <c r="H121" s="17"/>
      <c r="I121" s="17"/>
      <c r="J121" s="17">
        <v>1.03</v>
      </c>
      <c r="K121" s="17"/>
      <c r="L121" s="17"/>
      <c r="M121" s="19">
        <v>1</v>
      </c>
      <c r="N121" s="17"/>
      <c r="O121" s="17"/>
      <c r="P121" s="17">
        <v>1.03</v>
      </c>
      <c r="Q121" s="17"/>
      <c r="R121" s="17"/>
      <c r="S121" s="19">
        <v>2</v>
      </c>
      <c r="T121" s="17"/>
      <c r="U121" s="17"/>
      <c r="V121" s="19">
        <v>1</v>
      </c>
      <c r="W121" s="17"/>
      <c r="X121" s="17"/>
      <c r="Y121" s="19"/>
      <c r="Z121" s="17"/>
      <c r="AA121" s="17"/>
      <c r="AB121" s="19">
        <v>1</v>
      </c>
      <c r="AC121" s="17"/>
      <c r="AD121" s="17"/>
      <c r="AE121" s="17">
        <v>0.5</v>
      </c>
      <c r="AF121" s="17"/>
      <c r="AG121" s="17"/>
      <c r="AH121" s="19">
        <v>1</v>
      </c>
      <c r="AI121" s="17"/>
      <c r="AJ121" s="17"/>
      <c r="AK121" s="16">
        <v>1</v>
      </c>
      <c r="AL121" s="17"/>
      <c r="AM121" s="17"/>
      <c r="AN121" s="17"/>
      <c r="AO121" s="17"/>
      <c r="AP121" s="17"/>
    </row>
    <row r="122" spans="1:42" ht="15" customHeight="1" x14ac:dyDescent="0.2">
      <c r="A122" s="4" t="str">
        <f>crop!A122</f>
        <v>CS #1: grassland (3 years) - wheat - sugar beet - wheat</v>
      </c>
      <c r="B122" s="4" t="str">
        <f>crop!B122</f>
        <v>C.12.7.be</v>
      </c>
      <c r="D122" s="16">
        <v>1.03</v>
      </c>
      <c r="E122" s="17"/>
      <c r="F122" s="17"/>
      <c r="G122" s="19">
        <v>1</v>
      </c>
      <c r="H122" s="17"/>
      <c r="I122" s="17"/>
      <c r="J122" s="17">
        <v>1.03</v>
      </c>
      <c r="K122" s="17"/>
      <c r="L122" s="17"/>
      <c r="M122" s="19">
        <v>1</v>
      </c>
      <c r="N122" s="17"/>
      <c r="O122" s="17"/>
      <c r="P122" s="17">
        <v>1.03</v>
      </c>
      <c r="Q122" s="17"/>
      <c r="R122" s="17"/>
      <c r="S122" s="19">
        <v>2</v>
      </c>
      <c r="T122" s="17"/>
      <c r="U122" s="17"/>
      <c r="V122" s="19">
        <v>1</v>
      </c>
      <c r="W122" s="17"/>
      <c r="X122" s="17"/>
      <c r="Y122" s="19"/>
      <c r="Z122" s="17"/>
      <c r="AA122" s="17"/>
      <c r="AB122" s="19">
        <v>1</v>
      </c>
      <c r="AC122" s="17"/>
      <c r="AD122" s="17"/>
      <c r="AE122" s="17">
        <v>0.5</v>
      </c>
      <c r="AF122" s="17"/>
      <c r="AG122" s="17"/>
      <c r="AH122" s="19">
        <v>1</v>
      </c>
      <c r="AI122" s="17"/>
      <c r="AJ122" s="17"/>
      <c r="AK122" s="16">
        <v>1</v>
      </c>
      <c r="AL122" s="17"/>
      <c r="AM122" s="17"/>
      <c r="AN122" s="17"/>
      <c r="AO122" s="17"/>
      <c r="AP122" s="17"/>
    </row>
    <row r="123" spans="1:42" ht="15" customHeight="1" x14ac:dyDescent="0.2">
      <c r="A123" s="4" t="str">
        <f>crop!A123</f>
        <v>CS #1: alfalfa (3 years) - maize - wheat - sugar beet - wheat - barley</v>
      </c>
      <c r="B123" s="4" t="str">
        <f>crop!B123</f>
        <v>C.12.8.be</v>
      </c>
      <c r="D123" s="16">
        <v>1.05</v>
      </c>
      <c r="E123" s="17"/>
      <c r="F123" s="17"/>
      <c r="G123" s="19">
        <v>2</v>
      </c>
      <c r="H123" s="17"/>
      <c r="I123" s="17"/>
      <c r="J123" s="17">
        <v>1.05</v>
      </c>
      <c r="K123" s="17"/>
      <c r="L123" s="17"/>
      <c r="M123" s="19">
        <v>2</v>
      </c>
      <c r="N123" s="17"/>
      <c r="O123" s="17"/>
      <c r="P123" s="17">
        <v>1.05</v>
      </c>
      <c r="Q123" s="17"/>
      <c r="R123" s="17"/>
      <c r="S123" s="19">
        <v>2</v>
      </c>
      <c r="T123" s="17"/>
      <c r="U123" s="17"/>
      <c r="V123" s="19">
        <v>2</v>
      </c>
      <c r="W123" s="17"/>
      <c r="X123" s="17"/>
      <c r="Y123" s="19"/>
      <c r="Z123" s="17"/>
      <c r="AA123" s="17"/>
      <c r="AB123" s="19">
        <v>1</v>
      </c>
      <c r="AC123" s="17"/>
      <c r="AD123" s="17"/>
      <c r="AE123" s="17">
        <v>0.5</v>
      </c>
      <c r="AF123" s="17"/>
      <c r="AG123" s="17"/>
      <c r="AH123" s="19">
        <v>1</v>
      </c>
      <c r="AI123" s="17"/>
      <c r="AJ123" s="17"/>
      <c r="AK123" s="16">
        <v>1</v>
      </c>
      <c r="AL123" s="17"/>
      <c r="AM123" s="17"/>
      <c r="AN123" s="16">
        <f>0.5</f>
        <v>0.5</v>
      </c>
      <c r="AO123" s="17"/>
      <c r="AP123" s="17"/>
    </row>
    <row r="124" spans="1:42" ht="15" customHeight="1" x14ac:dyDescent="0.2">
      <c r="A124" s="4" t="str">
        <f>crop!A124</f>
        <v>CS #1: grassland (3 years) - maize - wheat - faba bean - wheat - rapeseed - wheat</v>
      </c>
      <c r="B124" s="4" t="str">
        <f>crop!B124</f>
        <v>C.12.9.be</v>
      </c>
      <c r="D124" s="16">
        <v>1.05</v>
      </c>
      <c r="E124" s="17"/>
      <c r="F124" s="17"/>
      <c r="G124" s="19">
        <v>2</v>
      </c>
      <c r="H124" s="17"/>
      <c r="I124" s="17"/>
      <c r="J124" s="17">
        <v>1.05</v>
      </c>
      <c r="K124" s="17"/>
      <c r="L124" s="17"/>
      <c r="M124" s="19">
        <v>2</v>
      </c>
      <c r="N124" s="17"/>
      <c r="O124" s="17"/>
      <c r="P124" s="17">
        <v>1.05</v>
      </c>
      <c r="Q124" s="17"/>
      <c r="R124" s="17"/>
      <c r="S124" s="19">
        <v>2</v>
      </c>
      <c r="T124" s="17"/>
      <c r="U124" s="17"/>
      <c r="V124" s="19">
        <v>2</v>
      </c>
      <c r="W124" s="17"/>
      <c r="X124" s="17"/>
      <c r="Y124" s="19"/>
      <c r="Z124" s="17"/>
      <c r="AA124" s="17"/>
      <c r="AB124" s="19">
        <v>1</v>
      </c>
      <c r="AC124" s="17"/>
      <c r="AD124" s="17"/>
      <c r="AE124" s="17">
        <v>0.5</v>
      </c>
      <c r="AF124" s="17"/>
      <c r="AG124" s="17"/>
      <c r="AH124" s="19">
        <v>1</v>
      </c>
      <c r="AI124" s="17"/>
      <c r="AJ124" s="17"/>
      <c r="AK124" s="16">
        <v>1</v>
      </c>
      <c r="AL124" s="17"/>
      <c r="AM124" s="17"/>
      <c r="AN124" s="16">
        <f>0.5</f>
        <v>0.5</v>
      </c>
      <c r="AO124" s="17"/>
      <c r="AP124" s="17"/>
    </row>
    <row r="125" spans="1:42" ht="15" customHeight="1" x14ac:dyDescent="0.2">
      <c r="A125" s="4" t="str">
        <f>crop!A125</f>
        <v>CS #2: maize - wheat - barley</v>
      </c>
      <c r="B125" s="4" t="str">
        <f>crop!B125</f>
        <v>C.13.1.be</v>
      </c>
      <c r="D125" s="17"/>
      <c r="E125" s="16"/>
      <c r="F125" s="17"/>
      <c r="G125" s="17"/>
      <c r="H125" s="19">
        <v>-1</v>
      </c>
      <c r="I125" s="17"/>
      <c r="J125" s="17"/>
      <c r="K125" s="16"/>
      <c r="L125" s="17"/>
      <c r="M125" s="17"/>
      <c r="N125" s="17"/>
      <c r="O125" s="17"/>
      <c r="P125" s="17"/>
      <c r="Q125" s="16"/>
      <c r="R125" s="17"/>
      <c r="S125" s="17"/>
      <c r="T125" s="17"/>
      <c r="U125" s="17"/>
      <c r="V125" s="17"/>
      <c r="W125" s="17"/>
      <c r="X125" s="17"/>
      <c r="Y125" s="17"/>
      <c r="Z125" s="19">
        <v>-2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</row>
    <row r="126" spans="1:42" ht="15" customHeight="1" x14ac:dyDescent="0.2">
      <c r="A126" s="4" t="str">
        <f>crop!A126</f>
        <v>CS #2: sugar beet - wheat - potato - wheat</v>
      </c>
      <c r="B126" s="4" t="str">
        <f>crop!B126</f>
        <v>C.13.2.be</v>
      </c>
      <c r="D126" s="17"/>
      <c r="E126" s="16">
        <v>1.02</v>
      </c>
      <c r="F126" s="17"/>
      <c r="G126" s="17"/>
      <c r="H126" s="17"/>
      <c r="I126" s="17"/>
      <c r="J126" s="17"/>
      <c r="K126" s="17">
        <v>1.02</v>
      </c>
      <c r="L126" s="17"/>
      <c r="M126" s="17"/>
      <c r="N126" s="17"/>
      <c r="O126" s="17"/>
      <c r="P126" s="17"/>
      <c r="Q126" s="17">
        <v>1.02</v>
      </c>
      <c r="R126" s="17"/>
      <c r="S126" s="17"/>
      <c r="T126" s="17"/>
      <c r="U126" s="17"/>
      <c r="V126" s="17"/>
      <c r="W126" s="17"/>
      <c r="X126" s="17"/>
      <c r="Y126" s="17"/>
      <c r="Z126" s="19">
        <v>-2</v>
      </c>
      <c r="AA126" s="17"/>
      <c r="AB126" s="17"/>
      <c r="AC126" s="17"/>
      <c r="AD126" s="17"/>
      <c r="AE126" s="17"/>
      <c r="AF126" s="17">
        <v>0.5</v>
      </c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</row>
    <row r="127" spans="1:42" ht="15" customHeight="1" x14ac:dyDescent="0.2">
      <c r="A127" s="4" t="str">
        <f>crop!A127</f>
        <v>CS #2: potato - wheat - rapeseed - wheat</v>
      </c>
      <c r="B127" s="4" t="str">
        <f>crop!B127</f>
        <v>C.13.3.be</v>
      </c>
      <c r="D127" s="17"/>
      <c r="E127" s="16">
        <v>1.02</v>
      </c>
      <c r="F127" s="17"/>
      <c r="G127" s="17"/>
      <c r="H127" s="17"/>
      <c r="I127" s="17"/>
      <c r="J127" s="17"/>
      <c r="K127" s="17">
        <v>1.02</v>
      </c>
      <c r="L127" s="17"/>
      <c r="M127" s="17"/>
      <c r="N127" s="17"/>
      <c r="O127" s="17"/>
      <c r="P127" s="17"/>
      <c r="Q127" s="17">
        <v>1.02</v>
      </c>
      <c r="R127" s="17"/>
      <c r="S127" s="17"/>
      <c r="T127" s="17"/>
      <c r="U127" s="17"/>
      <c r="V127" s="17"/>
      <c r="W127" s="17"/>
      <c r="X127" s="17"/>
      <c r="Y127" s="17"/>
      <c r="Z127" s="19">
        <v>-2</v>
      </c>
      <c r="AA127" s="17"/>
      <c r="AB127" s="17"/>
      <c r="AC127" s="17"/>
      <c r="AD127" s="17"/>
      <c r="AE127" s="17"/>
      <c r="AF127" s="17">
        <v>0.5</v>
      </c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</row>
    <row r="128" spans="1:42" ht="15" customHeight="1" x14ac:dyDescent="0.2">
      <c r="A128" s="4" t="str">
        <f>crop!A128</f>
        <v>CS #2: alfalfa (3 years) - maize - wheat</v>
      </c>
      <c r="B128" s="4" t="str">
        <f>crop!B128</f>
        <v>C.13.4.be</v>
      </c>
      <c r="D128" s="17"/>
      <c r="E128" s="16">
        <v>1.04</v>
      </c>
      <c r="F128" s="17"/>
      <c r="G128" s="17"/>
      <c r="H128" s="19">
        <v>1</v>
      </c>
      <c r="I128" s="17"/>
      <c r="J128" s="17"/>
      <c r="K128" s="17">
        <v>1.04</v>
      </c>
      <c r="L128" s="17"/>
      <c r="M128" s="17"/>
      <c r="N128" s="19">
        <v>1</v>
      </c>
      <c r="O128" s="17"/>
      <c r="P128" s="17"/>
      <c r="Q128" s="17">
        <v>1.04</v>
      </c>
      <c r="R128" s="17"/>
      <c r="S128" s="17"/>
      <c r="T128" s="17"/>
      <c r="U128" s="17"/>
      <c r="V128" s="17"/>
      <c r="W128" s="19">
        <v>1</v>
      </c>
      <c r="X128" s="17"/>
      <c r="Y128" s="17"/>
      <c r="Z128" s="19">
        <v>-1</v>
      </c>
      <c r="AA128" s="17"/>
      <c r="AB128" s="17"/>
      <c r="AC128" s="17"/>
      <c r="AD128" s="17"/>
      <c r="AE128" s="17"/>
      <c r="AF128" s="17">
        <v>0.5</v>
      </c>
      <c r="AG128" s="17"/>
      <c r="AH128" s="17"/>
      <c r="AI128" s="17"/>
      <c r="AJ128" s="17"/>
      <c r="AK128" s="17"/>
      <c r="AL128" s="17"/>
      <c r="AM128" s="17"/>
      <c r="AN128" s="17"/>
      <c r="AO128" s="16">
        <f>0.5</f>
        <v>0.5</v>
      </c>
      <c r="AP128" s="17"/>
    </row>
    <row r="129" spans="1:42" ht="15" customHeight="1" x14ac:dyDescent="0.2">
      <c r="A129" s="4" t="str">
        <f>crop!A129</f>
        <v>CS #2: potato - wheat - rapeseed - faba bean - wheat</v>
      </c>
      <c r="B129" s="4" t="str">
        <f>crop!B129</f>
        <v>C.13.5.be</v>
      </c>
      <c r="D129" s="17"/>
      <c r="E129" s="16">
        <v>1.04</v>
      </c>
      <c r="F129" s="17"/>
      <c r="G129" s="17"/>
      <c r="H129" s="19">
        <v>1</v>
      </c>
      <c r="I129" s="17"/>
      <c r="J129" s="17"/>
      <c r="K129" s="17">
        <v>1.04</v>
      </c>
      <c r="L129" s="17"/>
      <c r="M129" s="17"/>
      <c r="N129" s="19">
        <v>1</v>
      </c>
      <c r="O129" s="17"/>
      <c r="P129" s="17"/>
      <c r="Q129" s="17">
        <v>1.04</v>
      </c>
      <c r="R129" s="17"/>
      <c r="S129" s="17"/>
      <c r="T129" s="17"/>
      <c r="U129" s="17"/>
      <c r="V129" s="17"/>
      <c r="W129" s="19">
        <v>1</v>
      </c>
      <c r="X129" s="17"/>
      <c r="Y129" s="17"/>
      <c r="Z129" s="19">
        <v>-1</v>
      </c>
      <c r="AA129" s="17"/>
      <c r="AB129" s="17"/>
      <c r="AC129" s="17"/>
      <c r="AD129" s="17"/>
      <c r="AE129" s="17"/>
      <c r="AF129" s="17">
        <v>0.5</v>
      </c>
      <c r="AG129" s="17"/>
      <c r="AH129" s="17"/>
      <c r="AI129" s="17"/>
      <c r="AJ129" s="17"/>
      <c r="AK129" s="17"/>
      <c r="AL129" s="17"/>
      <c r="AM129" s="17"/>
      <c r="AN129" s="17"/>
      <c r="AO129" s="16">
        <f>0.5</f>
        <v>0.5</v>
      </c>
      <c r="AP129" s="17"/>
    </row>
    <row r="130" spans="1:42" ht="15" customHeight="1" x14ac:dyDescent="0.2">
      <c r="A130" s="4" t="str">
        <f>crop!A130</f>
        <v>CS #2: grassland (3 years) - maize - wheat</v>
      </c>
      <c r="B130" s="4" t="str">
        <f>crop!B130</f>
        <v>C.13.6.be</v>
      </c>
      <c r="D130" s="17"/>
      <c r="E130" s="16">
        <v>1.03</v>
      </c>
      <c r="F130" s="17"/>
      <c r="G130" s="17"/>
      <c r="H130" s="19">
        <v>1</v>
      </c>
      <c r="I130" s="17"/>
      <c r="J130" s="17"/>
      <c r="K130" s="17">
        <v>1.03</v>
      </c>
      <c r="L130" s="17"/>
      <c r="M130" s="17"/>
      <c r="N130" s="19">
        <v>1</v>
      </c>
      <c r="O130" s="17"/>
      <c r="P130" s="17"/>
      <c r="Q130" s="17">
        <v>1.03</v>
      </c>
      <c r="R130" s="17"/>
      <c r="S130" s="17"/>
      <c r="T130" s="19">
        <v>2</v>
      </c>
      <c r="U130" s="17"/>
      <c r="V130" s="17"/>
      <c r="W130" s="19">
        <v>1</v>
      </c>
      <c r="X130" s="17"/>
      <c r="Y130" s="17"/>
      <c r="Z130" s="19"/>
      <c r="AA130" s="17"/>
      <c r="AB130" s="17"/>
      <c r="AC130" s="19">
        <v>1</v>
      </c>
      <c r="AD130" s="17"/>
      <c r="AE130" s="17"/>
      <c r="AF130" s="17">
        <v>0.5</v>
      </c>
      <c r="AG130" s="17"/>
      <c r="AH130" s="17"/>
      <c r="AI130" s="19">
        <v>1</v>
      </c>
      <c r="AJ130" s="17"/>
      <c r="AK130" s="17"/>
      <c r="AL130" s="16">
        <v>1</v>
      </c>
      <c r="AM130" s="17"/>
      <c r="AN130" s="17"/>
      <c r="AO130" s="17"/>
      <c r="AP130" s="17"/>
    </row>
    <row r="131" spans="1:42" ht="15" customHeight="1" x14ac:dyDescent="0.2">
      <c r="A131" s="4" t="str">
        <f>crop!A131</f>
        <v>CS #2: grassland (3 years) - wheat - sugar beet - wheat</v>
      </c>
      <c r="B131" s="4" t="str">
        <f>crop!B131</f>
        <v>C.13.7.be</v>
      </c>
      <c r="D131" s="17"/>
      <c r="E131" s="16">
        <v>1.03</v>
      </c>
      <c r="F131" s="17"/>
      <c r="G131" s="17"/>
      <c r="H131" s="19">
        <v>1</v>
      </c>
      <c r="I131" s="17"/>
      <c r="J131" s="17"/>
      <c r="K131" s="17">
        <v>1.03</v>
      </c>
      <c r="L131" s="17"/>
      <c r="M131" s="17"/>
      <c r="N131" s="19">
        <v>1</v>
      </c>
      <c r="O131" s="17"/>
      <c r="P131" s="17"/>
      <c r="Q131" s="17">
        <v>1.03</v>
      </c>
      <c r="R131" s="17"/>
      <c r="S131" s="17"/>
      <c r="T131" s="19">
        <v>2</v>
      </c>
      <c r="U131" s="17"/>
      <c r="V131" s="17"/>
      <c r="W131" s="19">
        <v>1</v>
      </c>
      <c r="X131" s="17"/>
      <c r="Y131" s="17"/>
      <c r="Z131" s="19"/>
      <c r="AA131" s="17"/>
      <c r="AB131" s="17"/>
      <c r="AC131" s="19">
        <v>1</v>
      </c>
      <c r="AD131" s="17"/>
      <c r="AE131" s="17"/>
      <c r="AF131" s="17">
        <v>0.5</v>
      </c>
      <c r="AG131" s="17"/>
      <c r="AH131" s="17"/>
      <c r="AI131" s="19">
        <v>1</v>
      </c>
      <c r="AJ131" s="17"/>
      <c r="AK131" s="17"/>
      <c r="AL131" s="16">
        <v>1</v>
      </c>
      <c r="AM131" s="17"/>
      <c r="AN131" s="17"/>
      <c r="AO131" s="17"/>
      <c r="AP131" s="17"/>
    </row>
    <row r="132" spans="1:42" ht="15" customHeight="1" x14ac:dyDescent="0.2">
      <c r="A132" s="4" t="str">
        <f>crop!A132</f>
        <v>CS #2: alfalfa (3 years) - maize - wheat - sugar beet - wheat - barley</v>
      </c>
      <c r="B132" s="4" t="str">
        <f>crop!B132</f>
        <v>C.13.8.be</v>
      </c>
      <c r="D132" s="17"/>
      <c r="E132" s="16">
        <v>1.05</v>
      </c>
      <c r="F132" s="17"/>
      <c r="G132" s="17"/>
      <c r="H132" s="19">
        <v>2</v>
      </c>
      <c r="I132" s="17"/>
      <c r="J132" s="17"/>
      <c r="K132" s="17">
        <v>1.05</v>
      </c>
      <c r="L132" s="17"/>
      <c r="M132" s="17"/>
      <c r="N132" s="19">
        <v>2</v>
      </c>
      <c r="O132" s="17"/>
      <c r="P132" s="17"/>
      <c r="Q132" s="17">
        <v>1.05</v>
      </c>
      <c r="R132" s="17"/>
      <c r="S132" s="17"/>
      <c r="T132" s="19">
        <v>2</v>
      </c>
      <c r="U132" s="17"/>
      <c r="V132" s="17"/>
      <c r="W132" s="19">
        <v>2</v>
      </c>
      <c r="X132" s="17"/>
      <c r="Y132" s="17"/>
      <c r="Z132" s="19"/>
      <c r="AA132" s="17"/>
      <c r="AB132" s="17"/>
      <c r="AC132" s="19">
        <v>1</v>
      </c>
      <c r="AD132" s="17"/>
      <c r="AE132" s="17"/>
      <c r="AF132" s="17">
        <v>0.5</v>
      </c>
      <c r="AG132" s="17"/>
      <c r="AH132" s="17"/>
      <c r="AI132" s="19">
        <v>1</v>
      </c>
      <c r="AJ132" s="17"/>
      <c r="AK132" s="17"/>
      <c r="AL132" s="16">
        <v>1</v>
      </c>
      <c r="AM132" s="17"/>
      <c r="AN132" s="17"/>
      <c r="AO132" s="16">
        <f>0.5</f>
        <v>0.5</v>
      </c>
      <c r="AP132" s="17"/>
    </row>
    <row r="133" spans="1:42" ht="15" customHeight="1" x14ac:dyDescent="0.2">
      <c r="A133" s="6" t="str">
        <f>crop!A133</f>
        <v>CS #2: grassland (3 years) - maize - wheat - faba bean - wheat - rapeseed - wheat</v>
      </c>
      <c r="B133" s="6" t="str">
        <f>crop!B133</f>
        <v>C.13.9.be</v>
      </c>
      <c r="D133" s="17"/>
      <c r="E133" s="16">
        <v>1.05</v>
      </c>
      <c r="F133" s="17"/>
      <c r="G133" s="17"/>
      <c r="H133" s="19">
        <v>2</v>
      </c>
      <c r="I133" s="17"/>
      <c r="J133" s="17"/>
      <c r="K133" s="17">
        <v>1.05</v>
      </c>
      <c r="L133" s="17"/>
      <c r="M133" s="17"/>
      <c r="N133" s="19">
        <v>2</v>
      </c>
      <c r="O133" s="17"/>
      <c r="P133" s="17"/>
      <c r="Q133" s="17">
        <v>1.05</v>
      </c>
      <c r="R133" s="17"/>
      <c r="S133" s="17"/>
      <c r="T133" s="19">
        <v>2</v>
      </c>
      <c r="U133" s="17"/>
      <c r="V133" s="17"/>
      <c r="W133" s="19">
        <v>2</v>
      </c>
      <c r="X133" s="17"/>
      <c r="Y133" s="17"/>
      <c r="Z133" s="19"/>
      <c r="AA133" s="17"/>
      <c r="AB133" s="17"/>
      <c r="AC133" s="19">
        <v>1</v>
      </c>
      <c r="AD133" s="17"/>
      <c r="AE133" s="17"/>
      <c r="AF133" s="17">
        <v>0.5</v>
      </c>
      <c r="AG133" s="17"/>
      <c r="AH133" s="17"/>
      <c r="AI133" s="19">
        <v>1</v>
      </c>
      <c r="AJ133" s="17"/>
      <c r="AK133" s="17"/>
      <c r="AL133" s="16">
        <v>1</v>
      </c>
      <c r="AM133" s="17"/>
      <c r="AN133" s="17"/>
      <c r="AO133" s="16">
        <f>0.5</f>
        <v>0.5</v>
      </c>
      <c r="AP133" s="17"/>
    </row>
    <row r="134" spans="1:42" ht="15" customHeight="1" x14ac:dyDescent="0.2">
      <c r="A134" s="7" t="str">
        <f>crop!A134</f>
        <v>CS #1: maize - wheat</v>
      </c>
      <c r="B134" s="7" t="str">
        <f>crop!B134</f>
        <v>C.12.1.it</v>
      </c>
      <c r="D134" s="16"/>
      <c r="E134" s="17"/>
      <c r="F134" s="17"/>
      <c r="G134" s="19">
        <v>-1</v>
      </c>
      <c r="H134" s="17"/>
      <c r="I134" s="17"/>
      <c r="J134" s="16"/>
      <c r="K134" s="17"/>
      <c r="L134" s="17"/>
      <c r="M134" s="17"/>
      <c r="N134" s="17"/>
      <c r="O134" s="17"/>
      <c r="P134" s="16"/>
      <c r="Q134" s="17"/>
      <c r="R134" s="17"/>
      <c r="S134" s="17"/>
      <c r="T134" s="17"/>
      <c r="U134" s="17"/>
      <c r="V134" s="17"/>
      <c r="W134" s="17"/>
      <c r="X134" s="17"/>
      <c r="Y134" s="19">
        <v>-2</v>
      </c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</row>
    <row r="135" spans="1:42" ht="15" customHeight="1" x14ac:dyDescent="0.2">
      <c r="A135" s="4" t="str">
        <f>crop!A135</f>
        <v>CS #1: sorghum - wheat - potato</v>
      </c>
      <c r="B135" s="4" t="str">
        <f>crop!B135</f>
        <v>C.12.2.it</v>
      </c>
      <c r="D135" s="16">
        <v>1.02</v>
      </c>
      <c r="E135" s="17"/>
      <c r="F135" s="17"/>
      <c r="G135" s="17"/>
      <c r="H135" s="17"/>
      <c r="I135" s="17"/>
      <c r="J135" s="17">
        <v>1.02</v>
      </c>
      <c r="K135" s="17"/>
      <c r="L135" s="17"/>
      <c r="M135" s="17"/>
      <c r="N135" s="17"/>
      <c r="O135" s="17"/>
      <c r="P135" s="17">
        <v>1.02</v>
      </c>
      <c r="Q135" s="17"/>
      <c r="R135" s="17"/>
      <c r="S135" s="17"/>
      <c r="T135" s="17"/>
      <c r="U135" s="17"/>
      <c r="V135" s="17"/>
      <c r="W135" s="17"/>
      <c r="X135" s="17"/>
      <c r="Y135" s="19">
        <v>-2</v>
      </c>
      <c r="Z135" s="17"/>
      <c r="AA135" s="17"/>
      <c r="AB135" s="17"/>
      <c r="AC135" s="17"/>
      <c r="AD135" s="17"/>
      <c r="AE135" s="17">
        <v>0.5</v>
      </c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</row>
    <row r="136" spans="1:42" ht="15" customHeight="1" x14ac:dyDescent="0.2">
      <c r="A136" s="4" t="str">
        <f>crop!A136</f>
        <v>CS #1: rapeseed - sorghum - wheat</v>
      </c>
      <c r="B136" s="4" t="str">
        <f>crop!B136</f>
        <v>C.12.3.it</v>
      </c>
      <c r="D136" s="16">
        <v>1.02</v>
      </c>
      <c r="E136" s="17"/>
      <c r="F136" s="17"/>
      <c r="G136" s="17"/>
      <c r="H136" s="17"/>
      <c r="I136" s="17"/>
      <c r="J136" s="17">
        <v>1.02</v>
      </c>
      <c r="K136" s="17"/>
      <c r="L136" s="17"/>
      <c r="M136" s="17"/>
      <c r="N136" s="17"/>
      <c r="O136" s="17"/>
      <c r="P136" s="17">
        <v>1.02</v>
      </c>
      <c r="Q136" s="17"/>
      <c r="R136" s="17"/>
      <c r="S136" s="17"/>
      <c r="T136" s="17"/>
      <c r="U136" s="17"/>
      <c r="V136" s="17"/>
      <c r="W136" s="17"/>
      <c r="X136" s="17"/>
      <c r="Y136" s="19">
        <v>-2</v>
      </c>
      <c r="Z136" s="17"/>
      <c r="AA136" s="17"/>
      <c r="AB136" s="17"/>
      <c r="AC136" s="17"/>
      <c r="AD136" s="17"/>
      <c r="AE136" s="17">
        <v>0.5</v>
      </c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</row>
    <row r="137" spans="1:42" ht="15" customHeight="1" x14ac:dyDescent="0.2">
      <c r="A137" s="4" t="str">
        <f>crop!A137</f>
        <v>CS #1: alfalfa (3 years) - maize - wheat</v>
      </c>
      <c r="B137" s="4" t="str">
        <f>crop!B137</f>
        <v>C.12.4.it</v>
      </c>
      <c r="D137" s="16">
        <v>1.04</v>
      </c>
      <c r="E137" s="17"/>
      <c r="F137" s="17"/>
      <c r="G137" s="19">
        <v>1</v>
      </c>
      <c r="H137" s="17"/>
      <c r="I137" s="17"/>
      <c r="J137" s="17">
        <v>1.04</v>
      </c>
      <c r="K137" s="17"/>
      <c r="L137" s="17"/>
      <c r="M137" s="19">
        <v>1</v>
      </c>
      <c r="N137" s="17"/>
      <c r="O137" s="17"/>
      <c r="P137" s="17">
        <v>1.04</v>
      </c>
      <c r="Q137" s="17"/>
      <c r="R137" s="17"/>
      <c r="S137" s="17"/>
      <c r="T137" s="17"/>
      <c r="U137" s="17"/>
      <c r="V137" s="19">
        <v>1</v>
      </c>
      <c r="W137" s="17"/>
      <c r="X137" s="17"/>
      <c r="Y137" s="19">
        <v>-1</v>
      </c>
      <c r="Z137" s="17"/>
      <c r="AA137" s="17"/>
      <c r="AB137" s="17"/>
      <c r="AC137" s="17"/>
      <c r="AD137" s="17"/>
      <c r="AE137" s="17">
        <v>0.5</v>
      </c>
      <c r="AF137" s="17"/>
      <c r="AG137" s="17"/>
      <c r="AH137" s="17"/>
      <c r="AI137" s="17"/>
      <c r="AJ137" s="17"/>
      <c r="AK137" s="17"/>
      <c r="AL137" s="17"/>
      <c r="AM137" s="17"/>
      <c r="AN137" s="16">
        <f>0.5</f>
        <v>0.5</v>
      </c>
      <c r="AO137" s="17"/>
      <c r="AP137" s="17"/>
    </row>
    <row r="138" spans="1:42" ht="15" customHeight="1" x14ac:dyDescent="0.2">
      <c r="A138" s="4" t="str">
        <f>crop!A138</f>
        <v>CS #1: faba bean - wheat - rapeseed - maize</v>
      </c>
      <c r="B138" s="4" t="str">
        <f>crop!B138</f>
        <v>C.12.5.it</v>
      </c>
      <c r="D138" s="16">
        <v>1.04</v>
      </c>
      <c r="E138" s="17"/>
      <c r="F138" s="17"/>
      <c r="G138" s="19">
        <v>1</v>
      </c>
      <c r="H138" s="17"/>
      <c r="I138" s="17"/>
      <c r="J138" s="17">
        <v>1.04</v>
      </c>
      <c r="K138" s="17"/>
      <c r="L138" s="17"/>
      <c r="M138" s="19">
        <v>1</v>
      </c>
      <c r="N138" s="17"/>
      <c r="O138" s="17"/>
      <c r="P138" s="17">
        <v>1.04</v>
      </c>
      <c r="Q138" s="17"/>
      <c r="R138" s="17"/>
      <c r="S138" s="17"/>
      <c r="T138" s="17"/>
      <c r="U138" s="17"/>
      <c r="V138" s="19">
        <v>1</v>
      </c>
      <c r="W138" s="17"/>
      <c r="X138" s="17"/>
      <c r="Y138" s="19">
        <v>-1</v>
      </c>
      <c r="Z138" s="17"/>
      <c r="AA138" s="17"/>
      <c r="AB138" s="17"/>
      <c r="AC138" s="17"/>
      <c r="AD138" s="17"/>
      <c r="AE138" s="17">
        <v>0.5</v>
      </c>
      <c r="AF138" s="17"/>
      <c r="AG138" s="17"/>
      <c r="AH138" s="17"/>
      <c r="AI138" s="17"/>
      <c r="AJ138" s="17"/>
      <c r="AK138" s="17"/>
      <c r="AL138" s="17"/>
      <c r="AM138" s="17"/>
      <c r="AN138" s="16">
        <f>0.5</f>
        <v>0.5</v>
      </c>
      <c r="AO138" s="17"/>
      <c r="AP138" s="17"/>
    </row>
    <row r="139" spans="1:42" ht="15" customHeight="1" x14ac:dyDescent="0.2">
      <c r="A139" s="4" t="str">
        <f>crop!A139</f>
        <v>CS #1: grassland (3 years) - maize - wheat</v>
      </c>
      <c r="B139" s="4" t="str">
        <f>crop!B139</f>
        <v>C.12.6.it</v>
      </c>
      <c r="D139" s="16">
        <v>1.03</v>
      </c>
      <c r="E139" s="17"/>
      <c r="F139" s="17"/>
      <c r="G139" s="19">
        <v>1</v>
      </c>
      <c r="H139" s="17"/>
      <c r="I139" s="17"/>
      <c r="J139" s="17">
        <v>1.03</v>
      </c>
      <c r="K139" s="17"/>
      <c r="L139" s="17"/>
      <c r="M139" s="19">
        <v>1</v>
      </c>
      <c r="N139" s="17"/>
      <c r="O139" s="17"/>
      <c r="P139" s="17">
        <v>1.03</v>
      </c>
      <c r="Q139" s="17"/>
      <c r="R139" s="17"/>
      <c r="S139" s="19">
        <v>2</v>
      </c>
      <c r="T139" s="17"/>
      <c r="U139" s="17"/>
      <c r="V139" s="19">
        <v>1</v>
      </c>
      <c r="W139" s="17"/>
      <c r="X139" s="17"/>
      <c r="Y139" s="19"/>
      <c r="Z139" s="17"/>
      <c r="AA139" s="17"/>
      <c r="AB139" s="19">
        <v>1</v>
      </c>
      <c r="AC139" s="17"/>
      <c r="AD139" s="17"/>
      <c r="AE139" s="17">
        <v>0.5</v>
      </c>
      <c r="AF139" s="17"/>
      <c r="AG139" s="17"/>
      <c r="AH139" s="19">
        <v>1</v>
      </c>
      <c r="AI139" s="17"/>
      <c r="AJ139" s="17"/>
      <c r="AK139" s="16">
        <v>1</v>
      </c>
      <c r="AL139" s="17"/>
      <c r="AM139" s="17"/>
      <c r="AN139" s="17"/>
      <c r="AO139" s="17"/>
      <c r="AP139" s="17"/>
    </row>
    <row r="140" spans="1:42" ht="15" customHeight="1" x14ac:dyDescent="0.2">
      <c r="A140" s="4" t="str">
        <f>crop!A140</f>
        <v>CS #1: grassland (3 years) - sorghum - wheat</v>
      </c>
      <c r="B140" s="4" t="str">
        <f>crop!B140</f>
        <v>C.12.7.it</v>
      </c>
      <c r="D140" s="16">
        <v>1.03</v>
      </c>
      <c r="E140" s="17"/>
      <c r="F140" s="17"/>
      <c r="G140" s="19">
        <v>1</v>
      </c>
      <c r="H140" s="17"/>
      <c r="I140" s="17"/>
      <c r="J140" s="17">
        <v>1.03</v>
      </c>
      <c r="K140" s="17"/>
      <c r="L140" s="17"/>
      <c r="M140" s="19">
        <v>1</v>
      </c>
      <c r="N140" s="17"/>
      <c r="O140" s="17"/>
      <c r="P140" s="17">
        <v>1.03</v>
      </c>
      <c r="Q140" s="17"/>
      <c r="R140" s="17"/>
      <c r="S140" s="19">
        <v>2</v>
      </c>
      <c r="T140" s="17"/>
      <c r="U140" s="17"/>
      <c r="V140" s="19">
        <v>1</v>
      </c>
      <c r="W140" s="17"/>
      <c r="X140" s="17"/>
      <c r="Y140" s="19"/>
      <c r="Z140" s="17"/>
      <c r="AA140" s="17"/>
      <c r="AB140" s="19">
        <v>1</v>
      </c>
      <c r="AC140" s="17"/>
      <c r="AD140" s="17"/>
      <c r="AE140" s="17">
        <v>0.5</v>
      </c>
      <c r="AF140" s="17"/>
      <c r="AG140" s="17"/>
      <c r="AH140" s="19">
        <v>1</v>
      </c>
      <c r="AI140" s="17"/>
      <c r="AJ140" s="17"/>
      <c r="AK140" s="16">
        <v>1</v>
      </c>
      <c r="AL140" s="17"/>
      <c r="AM140" s="17"/>
      <c r="AN140" s="17"/>
      <c r="AO140" s="17"/>
      <c r="AP140" s="17"/>
    </row>
    <row r="141" spans="1:42" ht="15" customHeight="1" x14ac:dyDescent="0.2">
      <c r="A141" s="4" t="str">
        <f>crop!A141</f>
        <v>CS #1: alfalfa (3 years) - maize - barley - faba bean - wheat</v>
      </c>
      <c r="B141" s="4" t="str">
        <f>crop!B141</f>
        <v>C.12.8.it</v>
      </c>
      <c r="D141" s="16">
        <v>1.05</v>
      </c>
      <c r="E141" s="17"/>
      <c r="F141" s="17"/>
      <c r="G141" s="19">
        <v>2</v>
      </c>
      <c r="H141" s="17"/>
      <c r="I141" s="17"/>
      <c r="J141" s="17">
        <v>1.05</v>
      </c>
      <c r="K141" s="17"/>
      <c r="L141" s="17"/>
      <c r="M141" s="19">
        <v>2</v>
      </c>
      <c r="N141" s="17"/>
      <c r="O141" s="17"/>
      <c r="P141" s="17">
        <v>1.05</v>
      </c>
      <c r="Q141" s="17"/>
      <c r="R141" s="17"/>
      <c r="S141" s="19">
        <v>2</v>
      </c>
      <c r="T141" s="17"/>
      <c r="U141" s="17"/>
      <c r="V141" s="19">
        <v>2</v>
      </c>
      <c r="W141" s="17"/>
      <c r="X141" s="17"/>
      <c r="Y141" s="19"/>
      <c r="Z141" s="17"/>
      <c r="AA141" s="17"/>
      <c r="AB141" s="19">
        <v>1</v>
      </c>
      <c r="AC141" s="17"/>
      <c r="AD141" s="17"/>
      <c r="AE141" s="17">
        <v>0.5</v>
      </c>
      <c r="AF141" s="17"/>
      <c r="AG141" s="17"/>
      <c r="AH141" s="19">
        <v>1</v>
      </c>
      <c r="AI141" s="17"/>
      <c r="AJ141" s="17"/>
      <c r="AK141" s="16">
        <v>1</v>
      </c>
      <c r="AL141" s="17"/>
      <c r="AM141" s="17"/>
      <c r="AN141" s="16">
        <f>0.5</f>
        <v>0.5</v>
      </c>
      <c r="AO141" s="17"/>
      <c r="AP141" s="17"/>
    </row>
    <row r="142" spans="1:42" ht="15" customHeight="1" x14ac:dyDescent="0.2">
      <c r="A142" s="4" t="str">
        <f>crop!A142</f>
        <v>CS #1: alfalfa (3 years) - sorghum - barley - faba bean - rapeseed - wheat</v>
      </c>
      <c r="B142" s="4" t="str">
        <f>crop!B142</f>
        <v>C.12.9.it</v>
      </c>
      <c r="D142" s="16">
        <v>1.05</v>
      </c>
      <c r="E142" s="17"/>
      <c r="F142" s="17"/>
      <c r="G142" s="19">
        <v>2</v>
      </c>
      <c r="H142" s="17"/>
      <c r="I142" s="17"/>
      <c r="J142" s="17">
        <v>1.05</v>
      </c>
      <c r="K142" s="17"/>
      <c r="L142" s="17"/>
      <c r="M142" s="19">
        <v>2</v>
      </c>
      <c r="N142" s="17"/>
      <c r="O142" s="17"/>
      <c r="P142" s="17">
        <v>1.05</v>
      </c>
      <c r="Q142" s="17"/>
      <c r="R142" s="17"/>
      <c r="S142" s="19">
        <v>2</v>
      </c>
      <c r="T142" s="17"/>
      <c r="U142" s="17"/>
      <c r="V142" s="19">
        <v>2</v>
      </c>
      <c r="W142" s="17"/>
      <c r="X142" s="17"/>
      <c r="Y142" s="19"/>
      <c r="Z142" s="17"/>
      <c r="AA142" s="17"/>
      <c r="AB142" s="19">
        <v>1</v>
      </c>
      <c r="AC142" s="17"/>
      <c r="AD142" s="17"/>
      <c r="AE142" s="17">
        <v>0.5</v>
      </c>
      <c r="AF142" s="17"/>
      <c r="AG142" s="17"/>
      <c r="AH142" s="19">
        <v>1</v>
      </c>
      <c r="AI142" s="17"/>
      <c r="AJ142" s="17"/>
      <c r="AK142" s="16">
        <v>1</v>
      </c>
      <c r="AL142" s="17"/>
      <c r="AM142" s="17"/>
      <c r="AN142" s="16">
        <f>0.5</f>
        <v>0.5</v>
      </c>
      <c r="AO142" s="17"/>
      <c r="AP142" s="17"/>
    </row>
    <row r="143" spans="1:42" ht="15" customHeight="1" x14ac:dyDescent="0.2">
      <c r="A143" s="4" t="str">
        <f>crop!A143</f>
        <v>CS #2: maize - wheat</v>
      </c>
      <c r="B143" s="4" t="str">
        <f>crop!B143</f>
        <v>C.13.1.it</v>
      </c>
      <c r="D143" s="17"/>
      <c r="E143" s="16"/>
      <c r="F143" s="17"/>
      <c r="G143" s="17"/>
      <c r="H143" s="19">
        <v>-1</v>
      </c>
      <c r="I143" s="17"/>
      <c r="J143" s="17"/>
      <c r="K143" s="16"/>
      <c r="L143" s="17"/>
      <c r="M143" s="17"/>
      <c r="N143" s="17"/>
      <c r="O143" s="17"/>
      <c r="P143" s="17"/>
      <c r="Q143" s="16"/>
      <c r="R143" s="17"/>
      <c r="S143" s="17"/>
      <c r="T143" s="17"/>
      <c r="U143" s="17"/>
      <c r="V143" s="17"/>
      <c r="W143" s="17"/>
      <c r="X143" s="17"/>
      <c r="Y143" s="17"/>
      <c r="Z143" s="19">
        <v>-2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</row>
    <row r="144" spans="1:42" ht="15" customHeight="1" x14ac:dyDescent="0.2">
      <c r="A144" s="4" t="str">
        <f>crop!A144</f>
        <v>CS #2: sorghum - wheat - potato</v>
      </c>
      <c r="B144" s="4" t="str">
        <f>crop!B144</f>
        <v>C.13.2.it</v>
      </c>
      <c r="D144" s="17"/>
      <c r="E144" s="16">
        <v>1.02</v>
      </c>
      <c r="F144" s="17"/>
      <c r="G144" s="17"/>
      <c r="H144" s="17"/>
      <c r="I144" s="17"/>
      <c r="J144" s="17"/>
      <c r="K144" s="17">
        <v>1.02</v>
      </c>
      <c r="L144" s="17"/>
      <c r="M144" s="17"/>
      <c r="N144" s="17"/>
      <c r="O144" s="17"/>
      <c r="P144" s="17"/>
      <c r="Q144" s="17">
        <v>1.02</v>
      </c>
      <c r="R144" s="17"/>
      <c r="S144" s="17"/>
      <c r="T144" s="17"/>
      <c r="U144" s="17"/>
      <c r="V144" s="17"/>
      <c r="W144" s="17"/>
      <c r="X144" s="17"/>
      <c r="Y144" s="17"/>
      <c r="Z144" s="19">
        <v>-2</v>
      </c>
      <c r="AA144" s="17"/>
      <c r="AB144" s="17"/>
      <c r="AC144" s="17"/>
      <c r="AD144" s="17"/>
      <c r="AE144" s="17"/>
      <c r="AF144" s="17">
        <v>0.5</v>
      </c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</row>
    <row r="145" spans="1:42" ht="15" customHeight="1" x14ac:dyDescent="0.2">
      <c r="A145" s="4" t="str">
        <f>crop!A145</f>
        <v>CS #2: rapeseed - sorghum - wheat</v>
      </c>
      <c r="B145" s="4" t="str">
        <f>crop!B145</f>
        <v>C.13.3.it</v>
      </c>
      <c r="D145" s="17"/>
      <c r="E145" s="16">
        <v>1.02</v>
      </c>
      <c r="F145" s="17"/>
      <c r="G145" s="17"/>
      <c r="H145" s="17"/>
      <c r="I145" s="17"/>
      <c r="J145" s="17"/>
      <c r="K145" s="17">
        <v>1.02</v>
      </c>
      <c r="L145" s="17"/>
      <c r="M145" s="17"/>
      <c r="N145" s="17"/>
      <c r="O145" s="17"/>
      <c r="P145" s="17"/>
      <c r="Q145" s="17">
        <v>1.02</v>
      </c>
      <c r="R145" s="17"/>
      <c r="S145" s="17"/>
      <c r="T145" s="17"/>
      <c r="U145" s="17"/>
      <c r="V145" s="17"/>
      <c r="W145" s="17"/>
      <c r="X145" s="17"/>
      <c r="Y145" s="17"/>
      <c r="Z145" s="19">
        <v>-2</v>
      </c>
      <c r="AA145" s="17"/>
      <c r="AB145" s="17"/>
      <c r="AC145" s="17"/>
      <c r="AD145" s="17"/>
      <c r="AE145" s="17"/>
      <c r="AF145" s="17">
        <v>0.5</v>
      </c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</row>
    <row r="146" spans="1:42" ht="15" customHeight="1" x14ac:dyDescent="0.2">
      <c r="A146" s="4" t="str">
        <f>crop!A146</f>
        <v>CS #2: alfalfa (3 years) - maize - wheat</v>
      </c>
      <c r="B146" s="4" t="str">
        <f>crop!B146</f>
        <v>C.13.4.it</v>
      </c>
      <c r="D146" s="17"/>
      <c r="E146" s="16">
        <v>1.04</v>
      </c>
      <c r="F146" s="17"/>
      <c r="G146" s="17"/>
      <c r="H146" s="19">
        <v>1</v>
      </c>
      <c r="I146" s="17"/>
      <c r="J146" s="17"/>
      <c r="K146" s="17">
        <v>1.04</v>
      </c>
      <c r="L146" s="17"/>
      <c r="M146" s="17"/>
      <c r="N146" s="19">
        <v>1</v>
      </c>
      <c r="O146" s="17"/>
      <c r="P146" s="17"/>
      <c r="Q146" s="17">
        <v>1.04</v>
      </c>
      <c r="R146" s="17"/>
      <c r="S146" s="17"/>
      <c r="T146" s="17"/>
      <c r="U146" s="17"/>
      <c r="V146" s="17"/>
      <c r="W146" s="19">
        <v>1</v>
      </c>
      <c r="X146" s="17"/>
      <c r="Y146" s="17"/>
      <c r="Z146" s="19">
        <v>-1</v>
      </c>
      <c r="AA146" s="17"/>
      <c r="AB146" s="17"/>
      <c r="AC146" s="17"/>
      <c r="AD146" s="17"/>
      <c r="AE146" s="17"/>
      <c r="AF146" s="17">
        <v>0.5</v>
      </c>
      <c r="AG146" s="17"/>
      <c r="AH146" s="17"/>
      <c r="AI146" s="17"/>
      <c r="AJ146" s="17"/>
      <c r="AK146" s="17"/>
      <c r="AL146" s="17"/>
      <c r="AM146" s="17"/>
      <c r="AN146" s="17"/>
      <c r="AO146" s="16">
        <f>0.5</f>
        <v>0.5</v>
      </c>
      <c r="AP146" s="17"/>
    </row>
    <row r="147" spans="1:42" ht="15" customHeight="1" x14ac:dyDescent="0.2">
      <c r="A147" s="4" t="str">
        <f>crop!A147</f>
        <v>CS #2: faba bean - wheat - rapeseed - maize</v>
      </c>
      <c r="B147" s="4" t="str">
        <f>crop!B147</f>
        <v>C.13.5.it</v>
      </c>
      <c r="D147" s="17"/>
      <c r="E147" s="16">
        <v>1.04</v>
      </c>
      <c r="F147" s="17"/>
      <c r="G147" s="17"/>
      <c r="H147" s="19">
        <v>1</v>
      </c>
      <c r="I147" s="17"/>
      <c r="J147" s="17"/>
      <c r="K147" s="17">
        <v>1.04</v>
      </c>
      <c r="L147" s="17"/>
      <c r="M147" s="17"/>
      <c r="N147" s="19">
        <v>1</v>
      </c>
      <c r="O147" s="17"/>
      <c r="P147" s="17"/>
      <c r="Q147" s="17">
        <v>1.04</v>
      </c>
      <c r="R147" s="17"/>
      <c r="S147" s="17"/>
      <c r="T147" s="17"/>
      <c r="U147" s="17"/>
      <c r="V147" s="17"/>
      <c r="W147" s="19">
        <v>1</v>
      </c>
      <c r="X147" s="17"/>
      <c r="Y147" s="17"/>
      <c r="Z147" s="19">
        <v>-1</v>
      </c>
      <c r="AA147" s="17"/>
      <c r="AB147" s="17"/>
      <c r="AC147" s="17"/>
      <c r="AD147" s="17"/>
      <c r="AE147" s="17"/>
      <c r="AF147" s="17">
        <v>0.5</v>
      </c>
      <c r="AG147" s="17"/>
      <c r="AH147" s="17"/>
      <c r="AI147" s="17"/>
      <c r="AJ147" s="17"/>
      <c r="AK147" s="17"/>
      <c r="AL147" s="17"/>
      <c r="AM147" s="17"/>
      <c r="AN147" s="17"/>
      <c r="AO147" s="16">
        <f>0.5</f>
        <v>0.5</v>
      </c>
      <c r="AP147" s="17"/>
    </row>
    <row r="148" spans="1:42" ht="15" customHeight="1" x14ac:dyDescent="0.2">
      <c r="A148" s="4" t="str">
        <f>crop!A148</f>
        <v>CS #2: grassland (3 years) - maize - wheat</v>
      </c>
      <c r="B148" s="4" t="str">
        <f>crop!B148</f>
        <v>C.13.6.it</v>
      </c>
      <c r="D148" s="17"/>
      <c r="E148" s="16">
        <v>1.03</v>
      </c>
      <c r="F148" s="17"/>
      <c r="G148" s="17"/>
      <c r="H148" s="19">
        <v>1</v>
      </c>
      <c r="I148" s="17"/>
      <c r="J148" s="17"/>
      <c r="K148" s="17">
        <v>1.03</v>
      </c>
      <c r="L148" s="17"/>
      <c r="M148" s="17"/>
      <c r="N148" s="19">
        <v>1</v>
      </c>
      <c r="O148" s="17"/>
      <c r="P148" s="17"/>
      <c r="Q148" s="17">
        <v>1.03</v>
      </c>
      <c r="R148" s="17"/>
      <c r="S148" s="17"/>
      <c r="T148" s="19">
        <v>2</v>
      </c>
      <c r="U148" s="17"/>
      <c r="V148" s="17"/>
      <c r="W148" s="19">
        <v>1</v>
      </c>
      <c r="X148" s="17"/>
      <c r="Y148" s="17"/>
      <c r="Z148" s="19"/>
      <c r="AA148" s="17"/>
      <c r="AB148" s="17"/>
      <c r="AC148" s="19">
        <v>1</v>
      </c>
      <c r="AD148" s="17"/>
      <c r="AE148" s="17"/>
      <c r="AF148" s="17">
        <v>0.5</v>
      </c>
      <c r="AG148" s="17"/>
      <c r="AH148" s="17"/>
      <c r="AI148" s="19">
        <v>1</v>
      </c>
      <c r="AJ148" s="17"/>
      <c r="AK148" s="17"/>
      <c r="AL148" s="16">
        <v>1</v>
      </c>
      <c r="AM148" s="17"/>
      <c r="AN148" s="17"/>
      <c r="AO148" s="17"/>
      <c r="AP148" s="17"/>
    </row>
    <row r="149" spans="1:42" ht="15" customHeight="1" x14ac:dyDescent="0.2">
      <c r="A149" s="4" t="str">
        <f>crop!A149</f>
        <v>CS #2: grassland (3 years) - sorghum - wheat</v>
      </c>
      <c r="B149" s="4" t="str">
        <f>crop!B149</f>
        <v>C.13.7.it</v>
      </c>
      <c r="D149" s="17"/>
      <c r="E149" s="16">
        <v>1.03</v>
      </c>
      <c r="F149" s="17"/>
      <c r="G149" s="17"/>
      <c r="H149" s="19">
        <v>1</v>
      </c>
      <c r="I149" s="17"/>
      <c r="J149" s="17"/>
      <c r="K149" s="17">
        <v>1.03</v>
      </c>
      <c r="L149" s="17"/>
      <c r="M149" s="17"/>
      <c r="N149" s="19">
        <v>1</v>
      </c>
      <c r="O149" s="17"/>
      <c r="P149" s="17"/>
      <c r="Q149" s="17">
        <v>1.03</v>
      </c>
      <c r="R149" s="17"/>
      <c r="S149" s="17"/>
      <c r="T149" s="19">
        <v>2</v>
      </c>
      <c r="U149" s="17"/>
      <c r="V149" s="17"/>
      <c r="W149" s="19">
        <v>1</v>
      </c>
      <c r="X149" s="17"/>
      <c r="Y149" s="17"/>
      <c r="Z149" s="19"/>
      <c r="AA149" s="17"/>
      <c r="AB149" s="17"/>
      <c r="AC149" s="19">
        <v>1</v>
      </c>
      <c r="AD149" s="17"/>
      <c r="AE149" s="17"/>
      <c r="AF149" s="17">
        <v>0.5</v>
      </c>
      <c r="AG149" s="17"/>
      <c r="AH149" s="17"/>
      <c r="AI149" s="19">
        <v>1</v>
      </c>
      <c r="AJ149" s="17"/>
      <c r="AK149" s="17"/>
      <c r="AL149" s="16">
        <v>1</v>
      </c>
      <c r="AM149" s="17"/>
      <c r="AN149" s="17"/>
      <c r="AO149" s="17"/>
      <c r="AP149" s="17"/>
    </row>
    <row r="150" spans="1:42" ht="15" customHeight="1" x14ac:dyDescent="0.2">
      <c r="A150" s="4" t="str">
        <f>crop!A150</f>
        <v>CS #2: alfalfa (3 years) - maize - barley - faba bean - wheat</v>
      </c>
      <c r="B150" s="4" t="str">
        <f>crop!B150</f>
        <v>C.13.8.it</v>
      </c>
      <c r="D150" s="17"/>
      <c r="E150" s="16">
        <v>1.05</v>
      </c>
      <c r="F150" s="17"/>
      <c r="G150" s="17"/>
      <c r="H150" s="19">
        <v>2</v>
      </c>
      <c r="I150" s="17"/>
      <c r="J150" s="17"/>
      <c r="K150" s="17">
        <v>1.05</v>
      </c>
      <c r="L150" s="17"/>
      <c r="M150" s="17"/>
      <c r="N150" s="19">
        <v>2</v>
      </c>
      <c r="O150" s="17"/>
      <c r="P150" s="17"/>
      <c r="Q150" s="17">
        <v>1.05</v>
      </c>
      <c r="R150" s="17"/>
      <c r="S150" s="17"/>
      <c r="T150" s="19">
        <v>2</v>
      </c>
      <c r="U150" s="17"/>
      <c r="V150" s="17"/>
      <c r="W150" s="19">
        <v>2</v>
      </c>
      <c r="X150" s="17"/>
      <c r="Y150" s="17"/>
      <c r="Z150" s="19"/>
      <c r="AA150" s="17"/>
      <c r="AB150" s="17"/>
      <c r="AC150" s="19">
        <v>1</v>
      </c>
      <c r="AD150" s="17"/>
      <c r="AE150" s="17"/>
      <c r="AF150" s="17">
        <v>0.5</v>
      </c>
      <c r="AG150" s="17"/>
      <c r="AH150" s="17"/>
      <c r="AI150" s="19">
        <v>1</v>
      </c>
      <c r="AJ150" s="17"/>
      <c r="AK150" s="17"/>
      <c r="AL150" s="16">
        <v>1</v>
      </c>
      <c r="AM150" s="17"/>
      <c r="AN150" s="17"/>
      <c r="AO150" s="16">
        <f>0.5</f>
        <v>0.5</v>
      </c>
      <c r="AP150" s="17"/>
    </row>
    <row r="151" spans="1:42" ht="15" customHeight="1" x14ac:dyDescent="0.2">
      <c r="A151" s="6" t="str">
        <f>crop!A151</f>
        <v>CS #2: alfalfa (3 years) - sorghum - barley - faba bean - rapeseed - wheat</v>
      </c>
      <c r="B151" s="6" t="str">
        <f>crop!B151</f>
        <v>C.13.9.it</v>
      </c>
      <c r="D151" s="17"/>
      <c r="E151" s="16">
        <v>1.05</v>
      </c>
      <c r="F151" s="17"/>
      <c r="G151" s="17"/>
      <c r="H151" s="19">
        <v>2</v>
      </c>
      <c r="I151" s="17"/>
      <c r="J151" s="17"/>
      <c r="K151" s="17">
        <v>1.05</v>
      </c>
      <c r="L151" s="17"/>
      <c r="M151" s="17"/>
      <c r="N151" s="19">
        <v>2</v>
      </c>
      <c r="O151" s="17"/>
      <c r="P151" s="17"/>
      <c r="Q151" s="17">
        <v>1.05</v>
      </c>
      <c r="R151" s="17"/>
      <c r="S151" s="17"/>
      <c r="T151" s="19">
        <v>2</v>
      </c>
      <c r="U151" s="17"/>
      <c r="V151" s="17"/>
      <c r="W151" s="19">
        <v>2</v>
      </c>
      <c r="X151" s="17"/>
      <c r="Y151" s="17"/>
      <c r="Z151" s="19"/>
      <c r="AA151" s="17"/>
      <c r="AB151" s="17"/>
      <c r="AC151" s="19">
        <v>1</v>
      </c>
      <c r="AD151" s="17"/>
      <c r="AE151" s="17"/>
      <c r="AF151" s="17">
        <v>0.5</v>
      </c>
      <c r="AG151" s="17"/>
      <c r="AH151" s="17"/>
      <c r="AI151" s="19">
        <v>1</v>
      </c>
      <c r="AJ151" s="17"/>
      <c r="AK151" s="17"/>
      <c r="AL151" s="16">
        <v>1</v>
      </c>
      <c r="AM151" s="17"/>
      <c r="AN151" s="17"/>
      <c r="AO151" s="16">
        <f>0.5</f>
        <v>0.5</v>
      </c>
      <c r="AP151" s="17"/>
    </row>
    <row r="152" spans="1:42" ht="15" customHeight="1" x14ac:dyDescent="0.2">
      <c r="A152" s="7" t="str">
        <f>crop!A152</f>
        <v>CS #1: maize - wheat</v>
      </c>
      <c r="B152" s="7" t="str">
        <f>crop!B152</f>
        <v>C.12.1.pl</v>
      </c>
      <c r="D152" s="16"/>
      <c r="E152" s="17"/>
      <c r="F152" s="17"/>
      <c r="G152" s="19">
        <v>-1</v>
      </c>
      <c r="H152" s="17"/>
      <c r="I152" s="17"/>
      <c r="J152" s="16"/>
      <c r="K152" s="17"/>
      <c r="L152" s="17"/>
      <c r="M152" s="17"/>
      <c r="N152" s="17"/>
      <c r="O152" s="17"/>
      <c r="P152" s="16"/>
      <c r="Q152" s="17"/>
      <c r="R152" s="17"/>
      <c r="S152" s="17"/>
      <c r="T152" s="17"/>
      <c r="U152" s="17"/>
      <c r="V152" s="17"/>
      <c r="W152" s="17"/>
      <c r="X152" s="17"/>
      <c r="Y152" s="19">
        <v>-2</v>
      </c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</row>
    <row r="153" spans="1:42" ht="15" customHeight="1" x14ac:dyDescent="0.2">
      <c r="A153" s="4" t="str">
        <f>crop!A153</f>
        <v>CS #1: rapeseed - wheat - maize - barley</v>
      </c>
      <c r="B153" s="4" t="str">
        <f>crop!B153</f>
        <v>C.12.2.pl</v>
      </c>
      <c r="D153" s="16">
        <v>1.02</v>
      </c>
      <c r="E153" s="17"/>
      <c r="F153" s="17"/>
      <c r="G153" s="17"/>
      <c r="H153" s="17"/>
      <c r="I153" s="17"/>
      <c r="J153" s="17">
        <v>1.02</v>
      </c>
      <c r="K153" s="17"/>
      <c r="L153" s="17"/>
      <c r="M153" s="17"/>
      <c r="N153" s="17"/>
      <c r="O153" s="17"/>
      <c r="P153" s="17">
        <v>1.02</v>
      </c>
      <c r="Q153" s="17"/>
      <c r="R153" s="17"/>
      <c r="S153" s="17"/>
      <c r="T153" s="17"/>
      <c r="U153" s="17"/>
      <c r="V153" s="17"/>
      <c r="W153" s="17"/>
      <c r="X153" s="17"/>
      <c r="Y153" s="19">
        <v>-2</v>
      </c>
      <c r="Z153" s="17"/>
      <c r="AA153" s="17"/>
      <c r="AB153" s="17"/>
      <c r="AC153" s="17"/>
      <c r="AD153" s="17"/>
      <c r="AE153" s="17">
        <v>0.5</v>
      </c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</row>
    <row r="154" spans="1:42" ht="15" customHeight="1" x14ac:dyDescent="0.2">
      <c r="A154" s="4" t="str">
        <f>crop!A154</f>
        <v>CS #1: potato - wheat - maize - barley</v>
      </c>
      <c r="B154" s="4" t="str">
        <f>crop!B154</f>
        <v>C.12.3.pl</v>
      </c>
      <c r="D154" s="16">
        <v>1.02</v>
      </c>
      <c r="E154" s="17"/>
      <c r="F154" s="17"/>
      <c r="G154" s="17"/>
      <c r="H154" s="17"/>
      <c r="I154" s="17"/>
      <c r="J154" s="17">
        <v>1.02</v>
      </c>
      <c r="K154" s="17"/>
      <c r="L154" s="17"/>
      <c r="M154" s="17"/>
      <c r="N154" s="17"/>
      <c r="O154" s="17"/>
      <c r="P154" s="17">
        <v>1.02</v>
      </c>
      <c r="Q154" s="17"/>
      <c r="R154" s="17"/>
      <c r="S154" s="17"/>
      <c r="T154" s="17"/>
      <c r="U154" s="17"/>
      <c r="V154" s="17"/>
      <c r="W154" s="17"/>
      <c r="X154" s="17"/>
      <c r="Y154" s="19">
        <v>-2</v>
      </c>
      <c r="Z154" s="17"/>
      <c r="AA154" s="17"/>
      <c r="AB154" s="17"/>
      <c r="AC154" s="17"/>
      <c r="AD154" s="17"/>
      <c r="AE154" s="17">
        <v>0.5</v>
      </c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</row>
    <row r="155" spans="1:42" ht="15" customHeight="1" x14ac:dyDescent="0.2">
      <c r="A155" s="4" t="str">
        <f>crop!A155</f>
        <v>CS #1: alfalfa (3 years) - maize - wheat</v>
      </c>
      <c r="B155" s="4" t="str">
        <f>crop!B155</f>
        <v>C.12.4.pl</v>
      </c>
      <c r="D155" s="16">
        <v>1.04</v>
      </c>
      <c r="E155" s="17"/>
      <c r="F155" s="17"/>
      <c r="G155" s="19">
        <v>1</v>
      </c>
      <c r="H155" s="17"/>
      <c r="I155" s="17"/>
      <c r="J155" s="17">
        <v>1.04</v>
      </c>
      <c r="K155" s="17"/>
      <c r="L155" s="17"/>
      <c r="M155" s="19">
        <v>1</v>
      </c>
      <c r="N155" s="17"/>
      <c r="O155" s="17"/>
      <c r="P155" s="17">
        <v>1.04</v>
      </c>
      <c r="Q155" s="17"/>
      <c r="R155" s="17"/>
      <c r="S155" s="17"/>
      <c r="T155" s="17"/>
      <c r="U155" s="17"/>
      <c r="V155" s="19">
        <v>1</v>
      </c>
      <c r="W155" s="17"/>
      <c r="X155" s="17"/>
      <c r="Y155" s="19">
        <v>-1</v>
      </c>
      <c r="Z155" s="17"/>
      <c r="AA155" s="17"/>
      <c r="AB155" s="17"/>
      <c r="AC155" s="17"/>
      <c r="AD155" s="17"/>
      <c r="AE155" s="17">
        <v>0.5</v>
      </c>
      <c r="AF155" s="17"/>
      <c r="AG155" s="17"/>
      <c r="AH155" s="17"/>
      <c r="AI155" s="17"/>
      <c r="AJ155" s="17"/>
      <c r="AK155" s="17"/>
      <c r="AL155" s="17"/>
      <c r="AM155" s="17"/>
      <c r="AN155" s="16">
        <f>0.5</f>
        <v>0.5</v>
      </c>
      <c r="AO155" s="17"/>
      <c r="AP155" s="17"/>
    </row>
    <row r="156" spans="1:42" ht="15" customHeight="1" x14ac:dyDescent="0.2">
      <c r="A156" s="4" t="str">
        <f>crop!A156</f>
        <v>CS #1: faba bean - wheat - rapeseed - maize</v>
      </c>
      <c r="B156" s="4" t="str">
        <f>crop!B156</f>
        <v>C.12.5.pl</v>
      </c>
      <c r="D156" s="16">
        <v>1.04</v>
      </c>
      <c r="E156" s="17"/>
      <c r="F156" s="17"/>
      <c r="G156" s="19">
        <v>1</v>
      </c>
      <c r="H156" s="17"/>
      <c r="I156" s="17"/>
      <c r="J156" s="17">
        <v>1.04</v>
      </c>
      <c r="K156" s="17"/>
      <c r="L156" s="17"/>
      <c r="M156" s="19">
        <v>1</v>
      </c>
      <c r="N156" s="17"/>
      <c r="O156" s="17"/>
      <c r="P156" s="17">
        <v>1.04</v>
      </c>
      <c r="Q156" s="17"/>
      <c r="R156" s="17"/>
      <c r="S156" s="17"/>
      <c r="T156" s="17"/>
      <c r="U156" s="17"/>
      <c r="V156" s="19">
        <v>1</v>
      </c>
      <c r="W156" s="17"/>
      <c r="X156" s="17"/>
      <c r="Y156" s="19">
        <v>-1</v>
      </c>
      <c r="Z156" s="17"/>
      <c r="AA156" s="17"/>
      <c r="AB156" s="17"/>
      <c r="AC156" s="17"/>
      <c r="AD156" s="17"/>
      <c r="AE156" s="17">
        <v>0.5</v>
      </c>
      <c r="AF156" s="17"/>
      <c r="AG156" s="17"/>
      <c r="AH156" s="17"/>
      <c r="AI156" s="17"/>
      <c r="AJ156" s="17"/>
      <c r="AK156" s="17"/>
      <c r="AL156" s="17"/>
      <c r="AM156" s="17"/>
      <c r="AN156" s="16">
        <f>0.5</f>
        <v>0.5</v>
      </c>
      <c r="AO156" s="17"/>
      <c r="AP156" s="17"/>
    </row>
    <row r="157" spans="1:42" ht="15" customHeight="1" x14ac:dyDescent="0.2">
      <c r="A157" s="4" t="str">
        <f>crop!A157</f>
        <v>CS #1: grassland (3 years) - maize - potato - wheat</v>
      </c>
      <c r="B157" s="4" t="str">
        <f>crop!B157</f>
        <v>C.12.6.pl</v>
      </c>
      <c r="D157" s="16">
        <v>1.03</v>
      </c>
      <c r="E157" s="17"/>
      <c r="F157" s="17"/>
      <c r="G157" s="19">
        <v>1</v>
      </c>
      <c r="H157" s="17"/>
      <c r="I157" s="17"/>
      <c r="J157" s="17">
        <v>1.03</v>
      </c>
      <c r="K157" s="17"/>
      <c r="L157" s="17"/>
      <c r="M157" s="19">
        <v>1</v>
      </c>
      <c r="N157" s="17"/>
      <c r="O157" s="17"/>
      <c r="P157" s="17">
        <v>1.03</v>
      </c>
      <c r="Q157" s="17"/>
      <c r="R157" s="17"/>
      <c r="S157" s="19">
        <v>2</v>
      </c>
      <c r="T157" s="17"/>
      <c r="U157" s="17"/>
      <c r="V157" s="19">
        <v>1</v>
      </c>
      <c r="W157" s="17"/>
      <c r="X157" s="17"/>
      <c r="Y157" s="19"/>
      <c r="Z157" s="17"/>
      <c r="AA157" s="17"/>
      <c r="AB157" s="19">
        <v>1</v>
      </c>
      <c r="AC157" s="17"/>
      <c r="AD157" s="17"/>
      <c r="AE157" s="17">
        <v>0.5</v>
      </c>
      <c r="AF157" s="17"/>
      <c r="AG157" s="17"/>
      <c r="AH157" s="19">
        <v>1</v>
      </c>
      <c r="AI157" s="17"/>
      <c r="AJ157" s="17"/>
      <c r="AK157" s="16">
        <v>1</v>
      </c>
      <c r="AL157" s="17"/>
      <c r="AM157" s="17"/>
      <c r="AN157" s="17"/>
      <c r="AO157" s="17"/>
      <c r="AP157" s="17"/>
    </row>
    <row r="158" spans="1:42" ht="15" customHeight="1" x14ac:dyDescent="0.2">
      <c r="A158" s="4" t="str">
        <f>crop!A158</f>
        <v>CS #1: grassland (3 years) - maize - rapeseed - wheat</v>
      </c>
      <c r="B158" s="4" t="str">
        <f>crop!B158</f>
        <v>C.12.7.pl</v>
      </c>
      <c r="D158" s="16">
        <v>1.03</v>
      </c>
      <c r="E158" s="17"/>
      <c r="F158" s="17"/>
      <c r="G158" s="19">
        <v>1</v>
      </c>
      <c r="H158" s="17"/>
      <c r="I158" s="17"/>
      <c r="J158" s="17">
        <v>1.03</v>
      </c>
      <c r="K158" s="17"/>
      <c r="L158" s="17"/>
      <c r="M158" s="19">
        <v>1</v>
      </c>
      <c r="N158" s="17"/>
      <c r="O158" s="17"/>
      <c r="P158" s="17">
        <v>1.03</v>
      </c>
      <c r="Q158" s="17"/>
      <c r="R158" s="17"/>
      <c r="S158" s="19">
        <v>2</v>
      </c>
      <c r="T158" s="17"/>
      <c r="U158" s="17"/>
      <c r="V158" s="19">
        <v>1</v>
      </c>
      <c r="W158" s="17"/>
      <c r="X158" s="17"/>
      <c r="Y158" s="19"/>
      <c r="Z158" s="17"/>
      <c r="AA158" s="17"/>
      <c r="AB158" s="19">
        <v>1</v>
      </c>
      <c r="AC158" s="17"/>
      <c r="AD158" s="17"/>
      <c r="AE158" s="17">
        <v>0.5</v>
      </c>
      <c r="AF158" s="17"/>
      <c r="AG158" s="17"/>
      <c r="AH158" s="19">
        <v>1</v>
      </c>
      <c r="AI158" s="17"/>
      <c r="AJ158" s="17"/>
      <c r="AK158" s="16">
        <v>1</v>
      </c>
      <c r="AL158" s="17"/>
      <c r="AM158" s="17"/>
      <c r="AN158" s="17"/>
      <c r="AO158" s="17"/>
      <c r="AP158" s="17"/>
    </row>
    <row r="159" spans="1:42" ht="15" customHeight="1" x14ac:dyDescent="0.2">
      <c r="A159" s="4" t="str">
        <f>crop!A159</f>
        <v>CS #1: faba bean - potato - wheat - alfalfa (3 years) - maize - wheat</v>
      </c>
      <c r="B159" s="4" t="str">
        <f>crop!B159</f>
        <v>C.12.8.pl</v>
      </c>
      <c r="D159" s="16">
        <v>1.05</v>
      </c>
      <c r="E159" s="17"/>
      <c r="F159" s="17"/>
      <c r="G159" s="19">
        <v>2</v>
      </c>
      <c r="H159" s="17"/>
      <c r="I159" s="17"/>
      <c r="J159" s="17">
        <v>1.05</v>
      </c>
      <c r="K159" s="17"/>
      <c r="L159" s="17"/>
      <c r="M159" s="19">
        <v>2</v>
      </c>
      <c r="N159" s="17"/>
      <c r="O159" s="17"/>
      <c r="P159" s="17">
        <v>1.05</v>
      </c>
      <c r="Q159" s="17"/>
      <c r="R159" s="17"/>
      <c r="S159" s="19">
        <v>2</v>
      </c>
      <c r="T159" s="17"/>
      <c r="U159" s="17"/>
      <c r="V159" s="19">
        <v>2</v>
      </c>
      <c r="W159" s="17"/>
      <c r="X159" s="17"/>
      <c r="Y159" s="19"/>
      <c r="Z159" s="17"/>
      <c r="AA159" s="17"/>
      <c r="AB159" s="19">
        <v>1</v>
      </c>
      <c r="AC159" s="17"/>
      <c r="AD159" s="17"/>
      <c r="AE159" s="17">
        <v>0.5</v>
      </c>
      <c r="AF159" s="17"/>
      <c r="AG159" s="17"/>
      <c r="AH159" s="19">
        <v>1</v>
      </c>
      <c r="AI159" s="17"/>
      <c r="AJ159" s="17"/>
      <c r="AK159" s="16">
        <v>1</v>
      </c>
      <c r="AL159" s="17"/>
      <c r="AM159" s="17"/>
      <c r="AN159" s="16">
        <f>0.5</f>
        <v>0.5</v>
      </c>
      <c r="AO159" s="17"/>
      <c r="AP159" s="17"/>
    </row>
    <row r="160" spans="1:42" ht="15" customHeight="1" x14ac:dyDescent="0.2">
      <c r="A160" s="4" t="str">
        <f>crop!A160</f>
        <v>CS #1: grassland (3 years) - maize - wheat - faba bean - rapeseed</v>
      </c>
      <c r="B160" s="4" t="str">
        <f>crop!B160</f>
        <v>C.12.9.pl</v>
      </c>
      <c r="D160" s="16">
        <v>1.05</v>
      </c>
      <c r="E160" s="17"/>
      <c r="F160" s="17"/>
      <c r="G160" s="19">
        <v>2</v>
      </c>
      <c r="H160" s="17"/>
      <c r="I160" s="17"/>
      <c r="J160" s="17">
        <v>1.05</v>
      </c>
      <c r="K160" s="17"/>
      <c r="L160" s="17"/>
      <c r="M160" s="19">
        <v>2</v>
      </c>
      <c r="N160" s="17"/>
      <c r="O160" s="17"/>
      <c r="P160" s="17">
        <v>1.05</v>
      </c>
      <c r="Q160" s="17"/>
      <c r="R160" s="17"/>
      <c r="S160" s="19">
        <v>2</v>
      </c>
      <c r="T160" s="17"/>
      <c r="U160" s="17"/>
      <c r="V160" s="19">
        <v>2</v>
      </c>
      <c r="W160" s="17"/>
      <c r="X160" s="17"/>
      <c r="Y160" s="19"/>
      <c r="Z160" s="17"/>
      <c r="AA160" s="17"/>
      <c r="AB160" s="19">
        <v>1</v>
      </c>
      <c r="AC160" s="17"/>
      <c r="AD160" s="17"/>
      <c r="AE160" s="17">
        <v>0.5</v>
      </c>
      <c r="AF160" s="17"/>
      <c r="AG160" s="17"/>
      <c r="AH160" s="19">
        <v>1</v>
      </c>
      <c r="AI160" s="17"/>
      <c r="AJ160" s="17"/>
      <c r="AK160" s="16">
        <v>1</v>
      </c>
      <c r="AL160" s="17"/>
      <c r="AM160" s="17"/>
      <c r="AN160" s="16">
        <f>0.5</f>
        <v>0.5</v>
      </c>
      <c r="AO160" s="17"/>
      <c r="AP160" s="17"/>
    </row>
    <row r="161" spans="1:42" ht="15" customHeight="1" x14ac:dyDescent="0.2">
      <c r="A161" s="4" t="str">
        <f>crop!A161</f>
        <v>CS #2: maize - wheat</v>
      </c>
      <c r="B161" s="4" t="str">
        <f>crop!B161</f>
        <v>C.13.1.pl</v>
      </c>
      <c r="D161" s="17"/>
      <c r="E161" s="16"/>
      <c r="F161" s="17"/>
      <c r="G161" s="17"/>
      <c r="H161" s="19">
        <v>-1</v>
      </c>
      <c r="I161" s="17"/>
      <c r="J161" s="17"/>
      <c r="K161" s="16"/>
      <c r="L161" s="17"/>
      <c r="M161" s="17"/>
      <c r="N161" s="17"/>
      <c r="O161" s="17"/>
      <c r="P161" s="17"/>
      <c r="Q161" s="16"/>
      <c r="R161" s="17"/>
      <c r="S161" s="17"/>
      <c r="T161" s="17"/>
      <c r="U161" s="17"/>
      <c r="V161" s="17"/>
      <c r="W161" s="17"/>
      <c r="X161" s="17"/>
      <c r="Y161" s="17"/>
      <c r="Z161" s="19">
        <v>-2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</row>
    <row r="162" spans="1:42" ht="15" customHeight="1" x14ac:dyDescent="0.2">
      <c r="A162" s="4" t="str">
        <f>crop!A162</f>
        <v>CS #2: rapeseed - wheat - maize - barley</v>
      </c>
      <c r="B162" s="4" t="str">
        <f>crop!B162</f>
        <v>C.13.2.pl</v>
      </c>
      <c r="D162" s="17"/>
      <c r="E162" s="16">
        <v>1.02</v>
      </c>
      <c r="F162" s="17"/>
      <c r="G162" s="17"/>
      <c r="H162" s="17"/>
      <c r="I162" s="17"/>
      <c r="J162" s="17"/>
      <c r="K162" s="17">
        <v>1.02</v>
      </c>
      <c r="L162" s="17"/>
      <c r="M162" s="17"/>
      <c r="N162" s="17"/>
      <c r="O162" s="17"/>
      <c r="P162" s="17"/>
      <c r="Q162" s="17">
        <v>1.02</v>
      </c>
      <c r="R162" s="17"/>
      <c r="S162" s="17"/>
      <c r="T162" s="17"/>
      <c r="U162" s="17"/>
      <c r="V162" s="17"/>
      <c r="W162" s="17"/>
      <c r="X162" s="17"/>
      <c r="Y162" s="17"/>
      <c r="Z162" s="19">
        <v>-2</v>
      </c>
      <c r="AA162" s="17"/>
      <c r="AB162" s="17"/>
      <c r="AC162" s="17"/>
      <c r="AD162" s="17"/>
      <c r="AE162" s="17"/>
      <c r="AF162" s="17">
        <v>0.5</v>
      </c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</row>
    <row r="163" spans="1:42" ht="15" customHeight="1" x14ac:dyDescent="0.2">
      <c r="A163" s="4" t="str">
        <f>crop!A163</f>
        <v>CS #2: potato - wheat - maize - barley</v>
      </c>
      <c r="B163" s="4" t="str">
        <f>crop!B163</f>
        <v>C.13.3.pl</v>
      </c>
      <c r="D163" s="17"/>
      <c r="E163" s="16">
        <v>1.02</v>
      </c>
      <c r="F163" s="17"/>
      <c r="G163" s="17"/>
      <c r="H163" s="17"/>
      <c r="I163" s="17"/>
      <c r="J163" s="17"/>
      <c r="K163" s="17">
        <v>1.02</v>
      </c>
      <c r="L163" s="17"/>
      <c r="M163" s="17"/>
      <c r="N163" s="17"/>
      <c r="O163" s="17"/>
      <c r="P163" s="17"/>
      <c r="Q163" s="17">
        <v>1.02</v>
      </c>
      <c r="R163" s="17"/>
      <c r="S163" s="17"/>
      <c r="T163" s="17"/>
      <c r="U163" s="17"/>
      <c r="V163" s="17"/>
      <c r="W163" s="17"/>
      <c r="X163" s="17"/>
      <c r="Y163" s="17"/>
      <c r="Z163" s="19">
        <v>-2</v>
      </c>
      <c r="AA163" s="17"/>
      <c r="AB163" s="17"/>
      <c r="AC163" s="17"/>
      <c r="AD163" s="17"/>
      <c r="AE163" s="17"/>
      <c r="AF163" s="17">
        <v>0.5</v>
      </c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</row>
    <row r="164" spans="1:42" ht="15" customHeight="1" x14ac:dyDescent="0.2">
      <c r="A164" s="4" t="str">
        <f>crop!A164</f>
        <v>CS #2: alfalfa (3 years) - maize - wheat</v>
      </c>
      <c r="B164" s="4" t="str">
        <f>crop!B164</f>
        <v>C.13.4.pl</v>
      </c>
      <c r="D164" s="17"/>
      <c r="E164" s="16">
        <v>1.04</v>
      </c>
      <c r="F164" s="17"/>
      <c r="G164" s="17"/>
      <c r="H164" s="19">
        <v>1</v>
      </c>
      <c r="I164" s="17"/>
      <c r="J164" s="17"/>
      <c r="K164" s="17">
        <v>1.04</v>
      </c>
      <c r="L164" s="17"/>
      <c r="M164" s="17"/>
      <c r="N164" s="19">
        <v>1</v>
      </c>
      <c r="O164" s="17"/>
      <c r="P164" s="17"/>
      <c r="Q164" s="17">
        <v>1.04</v>
      </c>
      <c r="R164" s="17"/>
      <c r="S164" s="17"/>
      <c r="T164" s="17"/>
      <c r="U164" s="17"/>
      <c r="V164" s="17"/>
      <c r="W164" s="19">
        <v>1</v>
      </c>
      <c r="X164" s="17"/>
      <c r="Y164" s="17"/>
      <c r="Z164" s="19">
        <v>-1</v>
      </c>
      <c r="AA164" s="17"/>
      <c r="AB164" s="17"/>
      <c r="AC164" s="17"/>
      <c r="AD164" s="17"/>
      <c r="AE164" s="17"/>
      <c r="AF164" s="17">
        <v>0.5</v>
      </c>
      <c r="AG164" s="17"/>
      <c r="AH164" s="17"/>
      <c r="AI164" s="17"/>
      <c r="AJ164" s="17"/>
      <c r="AK164" s="17"/>
      <c r="AL164" s="17"/>
      <c r="AM164" s="17"/>
      <c r="AN164" s="17"/>
      <c r="AO164" s="16">
        <f>0.5</f>
        <v>0.5</v>
      </c>
      <c r="AP164" s="17"/>
    </row>
    <row r="165" spans="1:42" ht="15" customHeight="1" x14ac:dyDescent="0.2">
      <c r="A165" s="4" t="str">
        <f>crop!A165</f>
        <v>CS #2: faba bean - wheat - rapeseed - maize</v>
      </c>
      <c r="B165" s="4" t="str">
        <f>crop!B165</f>
        <v>C.13.5.pl</v>
      </c>
      <c r="D165" s="17"/>
      <c r="E165" s="16">
        <v>1.04</v>
      </c>
      <c r="F165" s="17"/>
      <c r="G165" s="17"/>
      <c r="H165" s="19">
        <v>1</v>
      </c>
      <c r="I165" s="17"/>
      <c r="J165" s="17"/>
      <c r="K165" s="17">
        <v>1.04</v>
      </c>
      <c r="L165" s="17"/>
      <c r="M165" s="17"/>
      <c r="N165" s="19">
        <v>1</v>
      </c>
      <c r="O165" s="17"/>
      <c r="P165" s="17"/>
      <c r="Q165" s="17">
        <v>1.04</v>
      </c>
      <c r="R165" s="17"/>
      <c r="S165" s="17"/>
      <c r="T165" s="17"/>
      <c r="U165" s="17"/>
      <c r="V165" s="17"/>
      <c r="W165" s="19">
        <v>1</v>
      </c>
      <c r="X165" s="17"/>
      <c r="Y165" s="17"/>
      <c r="Z165" s="19">
        <v>-1</v>
      </c>
      <c r="AA165" s="17"/>
      <c r="AB165" s="17"/>
      <c r="AC165" s="17"/>
      <c r="AD165" s="17"/>
      <c r="AE165" s="17"/>
      <c r="AF165" s="17">
        <v>0.5</v>
      </c>
      <c r="AG165" s="17"/>
      <c r="AH165" s="17"/>
      <c r="AI165" s="17"/>
      <c r="AJ165" s="17"/>
      <c r="AK165" s="17"/>
      <c r="AL165" s="17"/>
      <c r="AM165" s="17"/>
      <c r="AN165" s="17"/>
      <c r="AO165" s="16">
        <f>0.5</f>
        <v>0.5</v>
      </c>
      <c r="AP165" s="17"/>
    </row>
    <row r="166" spans="1:42" ht="15" customHeight="1" x14ac:dyDescent="0.2">
      <c r="A166" s="4" t="str">
        <f>crop!A166</f>
        <v>CS #2: grassland (3 years) - maize - potato - wheat</v>
      </c>
      <c r="B166" s="4" t="str">
        <f>crop!B166</f>
        <v>C.13.6.pl</v>
      </c>
      <c r="D166" s="17"/>
      <c r="E166" s="16">
        <v>1.03</v>
      </c>
      <c r="F166" s="17"/>
      <c r="G166" s="17"/>
      <c r="H166" s="19">
        <v>1</v>
      </c>
      <c r="I166" s="17"/>
      <c r="J166" s="17"/>
      <c r="K166" s="17">
        <v>1.03</v>
      </c>
      <c r="L166" s="17"/>
      <c r="M166" s="17"/>
      <c r="N166" s="19">
        <v>1</v>
      </c>
      <c r="O166" s="17"/>
      <c r="P166" s="17"/>
      <c r="Q166" s="17">
        <v>1.03</v>
      </c>
      <c r="R166" s="17"/>
      <c r="S166" s="17"/>
      <c r="T166" s="19">
        <v>2</v>
      </c>
      <c r="U166" s="17"/>
      <c r="V166" s="17"/>
      <c r="W166" s="19">
        <v>1</v>
      </c>
      <c r="X166" s="17"/>
      <c r="Y166" s="17"/>
      <c r="Z166" s="19"/>
      <c r="AA166" s="17"/>
      <c r="AB166" s="17"/>
      <c r="AC166" s="19">
        <v>1</v>
      </c>
      <c r="AD166" s="17"/>
      <c r="AE166" s="17"/>
      <c r="AF166" s="17">
        <v>0.5</v>
      </c>
      <c r="AG166" s="17"/>
      <c r="AH166" s="17"/>
      <c r="AI166" s="19">
        <v>1</v>
      </c>
      <c r="AJ166" s="17"/>
      <c r="AK166" s="17"/>
      <c r="AL166" s="16">
        <v>1</v>
      </c>
      <c r="AM166" s="17"/>
      <c r="AN166" s="17"/>
      <c r="AO166" s="17"/>
      <c r="AP166" s="17"/>
    </row>
    <row r="167" spans="1:42" ht="15" customHeight="1" x14ac:dyDescent="0.2">
      <c r="A167" s="4" t="str">
        <f>crop!A167</f>
        <v>CS #2: grassland (3 years) - maize - rapeseed - wheat</v>
      </c>
      <c r="B167" s="4" t="str">
        <f>crop!B167</f>
        <v>C.13.7.pl</v>
      </c>
      <c r="D167" s="17"/>
      <c r="E167" s="16">
        <v>1.03</v>
      </c>
      <c r="F167" s="17"/>
      <c r="G167" s="17"/>
      <c r="H167" s="19">
        <v>1</v>
      </c>
      <c r="I167" s="17"/>
      <c r="J167" s="17"/>
      <c r="K167" s="17">
        <v>1.03</v>
      </c>
      <c r="L167" s="17"/>
      <c r="M167" s="17"/>
      <c r="N167" s="19">
        <v>1</v>
      </c>
      <c r="O167" s="17"/>
      <c r="P167" s="17"/>
      <c r="Q167" s="17">
        <v>1.03</v>
      </c>
      <c r="R167" s="17"/>
      <c r="S167" s="17"/>
      <c r="T167" s="19">
        <v>2</v>
      </c>
      <c r="U167" s="17"/>
      <c r="V167" s="17"/>
      <c r="W167" s="19">
        <v>1</v>
      </c>
      <c r="X167" s="17"/>
      <c r="Y167" s="17"/>
      <c r="Z167" s="19"/>
      <c r="AA167" s="17"/>
      <c r="AB167" s="17"/>
      <c r="AC167" s="19">
        <v>1</v>
      </c>
      <c r="AD167" s="17"/>
      <c r="AE167" s="17"/>
      <c r="AF167" s="17">
        <v>0.5</v>
      </c>
      <c r="AG167" s="17"/>
      <c r="AH167" s="17"/>
      <c r="AI167" s="19">
        <v>1</v>
      </c>
      <c r="AJ167" s="17"/>
      <c r="AK167" s="17"/>
      <c r="AL167" s="16">
        <v>1</v>
      </c>
      <c r="AM167" s="17"/>
      <c r="AN167" s="17"/>
      <c r="AO167" s="17"/>
      <c r="AP167" s="17"/>
    </row>
    <row r="168" spans="1:42" ht="15" customHeight="1" x14ac:dyDescent="0.2">
      <c r="A168" s="4" t="str">
        <f>crop!A168</f>
        <v>CS #2: faba bean - potato - wheat - alfalfa (3 years) - maize - wheat</v>
      </c>
      <c r="B168" s="4" t="str">
        <f>crop!B168</f>
        <v>C.13.8.pl</v>
      </c>
      <c r="D168" s="17"/>
      <c r="E168" s="16">
        <v>1.05</v>
      </c>
      <c r="F168" s="17"/>
      <c r="G168" s="17"/>
      <c r="H168" s="19">
        <v>2</v>
      </c>
      <c r="I168" s="17"/>
      <c r="J168" s="17"/>
      <c r="K168" s="17">
        <v>1.05</v>
      </c>
      <c r="L168" s="17"/>
      <c r="M168" s="17"/>
      <c r="N168" s="19">
        <v>2</v>
      </c>
      <c r="O168" s="17"/>
      <c r="P168" s="17"/>
      <c r="Q168" s="17">
        <v>1.05</v>
      </c>
      <c r="R168" s="17"/>
      <c r="S168" s="17"/>
      <c r="T168" s="19">
        <v>2</v>
      </c>
      <c r="U168" s="17"/>
      <c r="V168" s="17"/>
      <c r="W168" s="19">
        <v>2</v>
      </c>
      <c r="X168" s="17"/>
      <c r="Y168" s="17"/>
      <c r="Z168" s="19"/>
      <c r="AA168" s="17"/>
      <c r="AB168" s="17"/>
      <c r="AC168" s="19">
        <v>1</v>
      </c>
      <c r="AD168" s="17"/>
      <c r="AE168" s="17"/>
      <c r="AF168" s="17">
        <v>0.5</v>
      </c>
      <c r="AG168" s="17"/>
      <c r="AH168" s="17"/>
      <c r="AI168" s="19">
        <v>1</v>
      </c>
      <c r="AJ168" s="17"/>
      <c r="AK168" s="17"/>
      <c r="AL168" s="16">
        <v>1</v>
      </c>
      <c r="AM168" s="17"/>
      <c r="AN168" s="17"/>
      <c r="AO168" s="16">
        <f>0.5</f>
        <v>0.5</v>
      </c>
      <c r="AP168" s="17"/>
    </row>
    <row r="169" spans="1:42" ht="15" customHeight="1" x14ac:dyDescent="0.2">
      <c r="A169" s="6" t="str">
        <f>crop!A169</f>
        <v>CS #2: grassland (3 years) - maize - wheat - faba bean - rapeseed</v>
      </c>
      <c r="B169" s="6" t="str">
        <f>crop!B169</f>
        <v>C.13.9.pl</v>
      </c>
      <c r="D169" s="17"/>
      <c r="E169" s="16">
        <v>1.05</v>
      </c>
      <c r="F169" s="17"/>
      <c r="G169" s="17"/>
      <c r="H169" s="19">
        <v>2</v>
      </c>
      <c r="I169" s="17"/>
      <c r="J169" s="17"/>
      <c r="K169" s="17">
        <v>1.05</v>
      </c>
      <c r="L169" s="17"/>
      <c r="M169" s="17"/>
      <c r="N169" s="19">
        <v>2</v>
      </c>
      <c r="O169" s="17"/>
      <c r="P169" s="17"/>
      <c r="Q169" s="17">
        <v>1.05</v>
      </c>
      <c r="R169" s="17"/>
      <c r="S169" s="17"/>
      <c r="T169" s="19">
        <v>2</v>
      </c>
      <c r="U169" s="17"/>
      <c r="V169" s="17"/>
      <c r="W169" s="19">
        <v>2</v>
      </c>
      <c r="X169" s="17"/>
      <c r="Y169" s="17"/>
      <c r="Z169" s="19"/>
      <c r="AA169" s="17"/>
      <c r="AB169" s="17"/>
      <c r="AC169" s="19">
        <v>1</v>
      </c>
      <c r="AD169" s="17"/>
      <c r="AE169" s="17"/>
      <c r="AF169" s="17">
        <v>0.5</v>
      </c>
      <c r="AG169" s="17"/>
      <c r="AH169" s="17"/>
      <c r="AI169" s="19">
        <v>1</v>
      </c>
      <c r="AJ169" s="17"/>
      <c r="AK169" s="17"/>
      <c r="AL169" s="16">
        <v>1</v>
      </c>
      <c r="AM169" s="17"/>
      <c r="AN169" s="17"/>
      <c r="AO169" s="16">
        <f>0.5</f>
        <v>0.5</v>
      </c>
      <c r="AP169" s="17"/>
    </row>
  </sheetData>
  <sheetProtection formatCells="0"/>
  <conditionalFormatting sqref="D3:AP133">
    <cfRule type="containsBlanks" dxfId="11" priority="7">
      <formula>LEN(TRIM(D3))=0</formula>
    </cfRule>
    <cfRule type="notContainsBlanks" dxfId="10" priority="8">
      <formula>LEN(TRIM(D3))&gt;0</formula>
    </cfRule>
  </conditionalFormatting>
  <conditionalFormatting sqref="D134:AP151">
    <cfRule type="containsBlanks" dxfId="7" priority="3">
      <formula>LEN(TRIM(D134))=0</formula>
    </cfRule>
    <cfRule type="notContainsBlanks" dxfId="6" priority="4">
      <formula>LEN(TRIM(D134))&gt;0</formula>
    </cfRule>
  </conditionalFormatting>
  <conditionalFormatting sqref="D152:AP169">
    <cfRule type="containsBlanks" dxfId="5" priority="1">
      <formula>LEN(TRIM(D152))=0</formula>
    </cfRule>
    <cfRule type="notContainsBlanks" dxfId="4" priority="2">
      <formula>LEN(TRIM(D152))&gt;0</formula>
    </cfRule>
  </conditionalFormatting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69"/>
  <sheetViews>
    <sheetView showGridLines="0" zoomScale="80" zoomScaleNormal="80" workbookViewId="0">
      <pane xSplit="3" ySplit="2" topLeftCell="D3" activePane="bottomRight" state="frozenSplit"/>
      <selection pane="topRight" activeCell="E1" sqref="E1"/>
      <selection pane="bottomLeft" activeCell="A16" sqref="A16"/>
      <selection pane="bottomRight" activeCell="D3" sqref="D3"/>
    </sheetView>
  </sheetViews>
  <sheetFormatPr baseColWidth="10" defaultColWidth="11.25" defaultRowHeight="15" customHeight="1" x14ac:dyDescent="0.2"/>
  <cols>
    <col min="1" max="1" width="33.125" style="1" customWidth="1"/>
    <col min="2" max="3" width="9.375" style="1" customWidth="1"/>
    <col min="4" max="6" width="11.25" style="4"/>
    <col min="7" max="7" width="11.25" style="3"/>
    <col min="8" max="12" width="11.25" style="1"/>
    <col min="13" max="18" width="11.25" style="4"/>
    <col min="19" max="22" width="11.25" style="1"/>
    <col min="23" max="117" width="11.25" style="3"/>
    <col min="118" max="16384" width="11.25" style="1"/>
  </cols>
  <sheetData>
    <row r="1" spans="1:125" ht="15" customHeight="1" x14ac:dyDescent="0.2">
      <c r="C1" s="1" t="s">
        <v>0</v>
      </c>
      <c r="D1" s="1" t="s">
        <v>660</v>
      </c>
      <c r="E1" s="1" t="s">
        <v>661</v>
      </c>
      <c r="F1" s="1" t="s">
        <v>662</v>
      </c>
      <c r="G1" s="1" t="s">
        <v>663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4" t="s">
        <v>118</v>
      </c>
      <c r="N1" s="4" t="s">
        <v>119</v>
      </c>
      <c r="O1" s="4" t="s">
        <v>120</v>
      </c>
      <c r="P1" s="4" t="s">
        <v>121</v>
      </c>
      <c r="Q1" s="4" t="s">
        <v>122</v>
      </c>
      <c r="R1" s="4" t="s">
        <v>123</v>
      </c>
      <c r="S1" s="1" t="s">
        <v>124</v>
      </c>
      <c r="T1" s="1" t="s">
        <v>125</v>
      </c>
      <c r="U1" s="1" t="s">
        <v>126</v>
      </c>
      <c r="V1" s="1" t="s">
        <v>664</v>
      </c>
      <c r="W1" s="3" t="s">
        <v>127</v>
      </c>
      <c r="X1" s="3" t="s">
        <v>128</v>
      </c>
      <c r="Y1" s="3" t="s">
        <v>129</v>
      </c>
      <c r="Z1" s="3" t="s">
        <v>130</v>
      </c>
      <c r="AA1" s="3" t="s">
        <v>131</v>
      </c>
      <c r="AB1" s="3" t="s">
        <v>132</v>
      </c>
      <c r="AC1" s="3" t="s">
        <v>133</v>
      </c>
      <c r="AD1" s="3" t="s">
        <v>134</v>
      </c>
      <c r="AE1" s="3" t="s">
        <v>135</v>
      </c>
      <c r="AF1" s="3" t="s">
        <v>136</v>
      </c>
      <c r="AG1" s="3" t="s">
        <v>137</v>
      </c>
      <c r="AH1" s="3" t="s">
        <v>138</v>
      </c>
      <c r="AI1" s="3" t="s">
        <v>139</v>
      </c>
      <c r="AJ1" s="3" t="s">
        <v>140</v>
      </c>
      <c r="AK1" s="3" t="s">
        <v>141</v>
      </c>
      <c r="AL1" s="3" t="s">
        <v>665</v>
      </c>
      <c r="AM1" s="3" t="s">
        <v>666</v>
      </c>
      <c r="AN1" s="3" t="s">
        <v>667</v>
      </c>
      <c r="AO1" s="3" t="s">
        <v>668</v>
      </c>
      <c r="AP1" s="3" t="s">
        <v>669</v>
      </c>
      <c r="AQ1" s="3" t="s">
        <v>142</v>
      </c>
      <c r="AR1" s="3" t="s">
        <v>143</v>
      </c>
      <c r="AS1" s="3" t="s">
        <v>144</v>
      </c>
      <c r="AT1" s="3" t="s">
        <v>145</v>
      </c>
      <c r="AU1" s="3" t="s">
        <v>146</v>
      </c>
      <c r="AV1" s="3" t="s">
        <v>147</v>
      </c>
      <c r="AW1" s="3" t="s">
        <v>148</v>
      </c>
      <c r="AX1" s="3" t="s">
        <v>149</v>
      </c>
      <c r="AY1" s="3" t="s">
        <v>150</v>
      </c>
      <c r="AZ1" s="3" t="s">
        <v>151</v>
      </c>
      <c r="BA1" s="3" t="s">
        <v>152</v>
      </c>
      <c r="BB1" s="3" t="s">
        <v>153</v>
      </c>
      <c r="BC1" s="3" t="s">
        <v>154</v>
      </c>
      <c r="BD1" s="3" t="s">
        <v>155</v>
      </c>
      <c r="BE1" s="3" t="s">
        <v>156</v>
      </c>
      <c r="BF1" s="3" t="s">
        <v>157</v>
      </c>
      <c r="BG1" s="3" t="s">
        <v>158</v>
      </c>
      <c r="BH1" s="3" t="s">
        <v>159</v>
      </c>
      <c r="BI1" s="3" t="s">
        <v>160</v>
      </c>
      <c r="BJ1" s="3" t="s">
        <v>161</v>
      </c>
      <c r="BK1" s="3" t="s">
        <v>162</v>
      </c>
      <c r="BL1" s="3" t="s">
        <v>163</v>
      </c>
      <c r="BM1" s="3" t="s">
        <v>164</v>
      </c>
      <c r="BN1" s="3" t="s">
        <v>165</v>
      </c>
      <c r="BO1" s="3" t="s">
        <v>166</v>
      </c>
      <c r="BP1" s="3" t="s">
        <v>167</v>
      </c>
      <c r="BQ1" s="3" t="s">
        <v>168</v>
      </c>
      <c r="BR1" s="3" t="s">
        <v>169</v>
      </c>
      <c r="BS1" s="3" t="s">
        <v>170</v>
      </c>
      <c r="BT1" s="3" t="s">
        <v>171</v>
      </c>
      <c r="BU1" s="3" t="s">
        <v>172</v>
      </c>
      <c r="BV1" s="3" t="s">
        <v>173</v>
      </c>
      <c r="BW1" s="3" t="s">
        <v>174</v>
      </c>
      <c r="BX1" s="3" t="s">
        <v>175</v>
      </c>
      <c r="BY1" s="3" t="s">
        <v>176</v>
      </c>
      <c r="BZ1" s="3" t="s">
        <v>177</v>
      </c>
      <c r="CA1" s="3" t="s">
        <v>178</v>
      </c>
      <c r="CB1" s="3" t="s">
        <v>179</v>
      </c>
      <c r="CC1" s="3" t="s">
        <v>180</v>
      </c>
      <c r="CD1" s="3" t="s">
        <v>181</v>
      </c>
      <c r="CE1" s="3" t="s">
        <v>182</v>
      </c>
      <c r="CF1" s="3" t="s">
        <v>183</v>
      </c>
      <c r="CG1" s="3" t="s">
        <v>184</v>
      </c>
      <c r="CH1" s="3" t="s">
        <v>185</v>
      </c>
      <c r="CI1" s="3" t="s">
        <v>186</v>
      </c>
      <c r="CJ1" s="3" t="s">
        <v>187</v>
      </c>
      <c r="CK1" s="3" t="s">
        <v>188</v>
      </c>
      <c r="CL1" s="3" t="s">
        <v>189</v>
      </c>
      <c r="CM1" s="3" t="s">
        <v>190</v>
      </c>
      <c r="CN1" s="3" t="s">
        <v>191</v>
      </c>
      <c r="CO1" s="3" t="s">
        <v>192</v>
      </c>
      <c r="CP1" s="3" t="s">
        <v>193</v>
      </c>
      <c r="CQ1" s="3" t="s">
        <v>194</v>
      </c>
      <c r="CR1" s="3" t="s">
        <v>195</v>
      </c>
      <c r="CS1" s="3" t="s">
        <v>196</v>
      </c>
      <c r="CT1" s="3" t="s">
        <v>197</v>
      </c>
      <c r="CU1" s="3" t="s">
        <v>198</v>
      </c>
      <c r="CV1" s="3" t="s">
        <v>199</v>
      </c>
      <c r="CW1" s="3" t="s">
        <v>200</v>
      </c>
      <c r="CX1" s="3" t="s">
        <v>201</v>
      </c>
      <c r="CY1" s="3" t="s">
        <v>202</v>
      </c>
      <c r="CZ1" s="3" t="s">
        <v>203</v>
      </c>
      <c r="DA1" s="3" t="s">
        <v>204</v>
      </c>
      <c r="DB1" s="3" t="s">
        <v>205</v>
      </c>
      <c r="DC1" s="3" t="s">
        <v>206</v>
      </c>
      <c r="DD1" s="3" t="s">
        <v>207</v>
      </c>
      <c r="DE1" s="3" t="s">
        <v>208</v>
      </c>
      <c r="DF1" s="3" t="s">
        <v>209</v>
      </c>
      <c r="DG1" s="3" t="s">
        <v>210</v>
      </c>
      <c r="DH1" s="3" t="s">
        <v>211</v>
      </c>
      <c r="DI1" s="3" t="s">
        <v>212</v>
      </c>
      <c r="DJ1" s="3" t="s">
        <v>213</v>
      </c>
      <c r="DK1" s="3" t="s">
        <v>214</v>
      </c>
      <c r="DL1" s="3" t="s">
        <v>215</v>
      </c>
      <c r="DM1" s="3" t="s">
        <v>216</v>
      </c>
      <c r="DN1" s="2" t="s">
        <v>683</v>
      </c>
      <c r="DO1" s="2" t="s">
        <v>684</v>
      </c>
      <c r="DP1" s="2" t="s">
        <v>685</v>
      </c>
      <c r="DQ1" s="2" t="s">
        <v>686</v>
      </c>
      <c r="DR1" s="2" t="s">
        <v>687</v>
      </c>
      <c r="DS1" s="2" t="s">
        <v>688</v>
      </c>
      <c r="DT1" s="2" t="s">
        <v>689</v>
      </c>
      <c r="DU1" s="2" t="s">
        <v>690</v>
      </c>
    </row>
    <row r="2" spans="1:125" ht="15" customHeight="1" x14ac:dyDescent="0.2">
      <c r="A2" s="1" t="s">
        <v>2</v>
      </c>
      <c r="B2" s="1" t="s">
        <v>3</v>
      </c>
      <c r="C2" s="1" t="s">
        <v>1</v>
      </c>
      <c r="D2" s="1" t="str">
        <f>INDEX([1]indicators!$I$2:$I$1491,MATCH(D$1,[1]indicators!$C$2:$C$1491,0),1)</f>
        <v>indAn1</v>
      </c>
      <c r="E2" s="1" t="str">
        <f>INDEX([1]indicators!$I$2:$I$1491,MATCH(E$1,[1]indicators!$C$2:$C$1491,0),1)</f>
        <v>indAn2</v>
      </c>
      <c r="F2" s="1" t="str">
        <f>INDEX([1]indicators!$I$2:$I$1491,MATCH(F$1,[1]indicators!$C$2:$C$1491,0),1)</f>
        <v>indAn3</v>
      </c>
      <c r="G2" s="1" t="str">
        <f>INDEX([1]indicators!$I$2:$I$1491,MATCH(G$1,[1]indicators!$C$2:$C$1491,0),1)</f>
        <v>indAn4</v>
      </c>
      <c r="H2" s="1" t="str">
        <f>INDEX([1]indicators!$I$2:$I$1491,MATCH(H$1,[1]indicators!$C$2:$C$1491,0),1)</f>
        <v>indAn5</v>
      </c>
      <c r="I2" s="1" t="str">
        <f>INDEX([1]indicators!$I$2:$I$1491,MATCH(I$1,[1]indicators!$C$2:$C$1491,0),1)</f>
        <v>indAn6</v>
      </c>
      <c r="J2" s="1" t="str">
        <f>INDEX([1]indicators!$I$2:$I$1491,MATCH(J$1,[1]indicators!$C$2:$C$1491,0),1)</f>
        <v>indAn7</v>
      </c>
      <c r="K2" s="1" t="str">
        <f>INDEX([1]indicators!$I$2:$I$1491,MATCH(K$1,[1]indicators!$C$2:$C$1491,0),1)</f>
        <v>indAn8</v>
      </c>
      <c r="L2" s="1" t="str">
        <f>INDEX([1]indicators!$I$2:$I$1491,MATCH(L$1,[1]indicators!$C$2:$C$1491,0),1)</f>
        <v>indAn9</v>
      </c>
      <c r="M2" s="4" t="str">
        <f>INDEX([1]indicators!$I$2:$I$1491,MATCH(M$1,[1]indicators!$C$2:$C$1491,0),1)</f>
        <v>indAn10</v>
      </c>
      <c r="N2" s="4" t="str">
        <f>INDEX([1]indicators!$I$2:$I$1491,MATCH(N$1,[1]indicators!$C$2:$C$1491,0),1)</f>
        <v>indAn11</v>
      </c>
      <c r="O2" s="4" t="str">
        <f>INDEX([1]indicators!$I$2:$I$1491,MATCH(O$1,[1]indicators!$C$2:$C$1491,0),1)</f>
        <v>indAn12</v>
      </c>
      <c r="P2" s="4" t="str">
        <f>INDEX([1]indicators!$I$2:$I$1491,MATCH(P$1,[1]indicators!$C$2:$C$1491,0),1)</f>
        <v>indAn13</v>
      </c>
      <c r="Q2" s="4" t="str">
        <f>INDEX([1]indicators!$I$2:$I$1491,MATCH(Q$1,[1]indicators!$C$2:$C$1491,0),1)</f>
        <v>indAn14</v>
      </c>
      <c r="R2" s="4" t="str">
        <f>INDEX([1]indicators!$I$2:$I$1491,MATCH(R$1,[1]indicators!$C$2:$C$1491,0),1)</f>
        <v>indAn15</v>
      </c>
      <c r="S2" s="4" t="str">
        <f>INDEX([1]indicators!$I$2:$I$1491,MATCH(S$1,[1]indicators!$C$2:$C$1491,0),1)</f>
        <v>indAn16</v>
      </c>
      <c r="T2" s="4" t="str">
        <f>INDEX([1]indicators!$I$2:$I$1491,MATCH(T$1,[1]indicators!$C$2:$C$1491,0),1)</f>
        <v>indAn17</v>
      </c>
      <c r="U2" s="4" t="str">
        <f>INDEX([1]indicators!$I$2:$I$1491,MATCH(U$1,[1]indicators!$C$2:$C$1491,0),1)</f>
        <v>indAn18</v>
      </c>
      <c r="V2" s="4" t="str">
        <f>INDEX([1]indicators!$I$2:$I$1491,MATCH(V$1,[1]indicators!$C$2:$C$1491,0),1)</f>
        <v>indAn19</v>
      </c>
      <c r="W2" s="3" t="str">
        <f>INDEX([1]indicators!$I$2:$I$1491,MATCH(W$1,[1]indicators!$C$2:$C$1491,0),1)</f>
        <v>indAn20</v>
      </c>
      <c r="X2" s="3" t="str">
        <f>INDEX([1]indicators!$I$2:$I$1491,MATCH(X$1,[1]indicators!$C$2:$C$1491,0),1)</f>
        <v>indAn21</v>
      </c>
      <c r="Y2" s="3" t="str">
        <f>INDEX([1]indicators!$I$2:$I$1491,MATCH(Y$1,[1]indicators!$C$2:$C$1491,0),1)</f>
        <v>indAn22</v>
      </c>
      <c r="Z2" s="3" t="str">
        <f>INDEX([1]indicators!$I$2:$I$1491,MATCH(Z$1,[1]indicators!$C$2:$C$1491,0),1)</f>
        <v>indAn23</v>
      </c>
      <c r="AA2" s="3" t="str">
        <f>INDEX([1]indicators!$I$2:$I$1491,MATCH(AA$1,[1]indicators!$C$2:$C$1491,0),1)</f>
        <v>indAn24</v>
      </c>
      <c r="AB2" s="3" t="str">
        <f>INDEX([1]indicators!$I$2:$I$1491,MATCH(AB$1,[1]indicators!$C$2:$C$1491,0),1)</f>
        <v>indAn25</v>
      </c>
      <c r="AC2" s="3" t="str">
        <f>INDEX([1]indicators!$I$2:$I$1491,MATCH(AC$1,[1]indicators!$C$2:$C$1491,0),1)</f>
        <v>indAn26</v>
      </c>
      <c r="AD2" s="3" t="str">
        <f>INDEX([1]indicators!$I$2:$I$1491,MATCH(AD$1,[1]indicators!$C$2:$C$1491,0),1)</f>
        <v>indAn27</v>
      </c>
      <c r="AE2" s="3" t="str">
        <f>INDEX([1]indicators!$I$2:$I$1491,MATCH(AE$1,[1]indicators!$C$2:$C$1491,0),1)</f>
        <v>indAn28</v>
      </c>
      <c r="AF2" s="3" t="str">
        <f>INDEX([1]indicators!$I$2:$I$1491,MATCH(AF$1,[1]indicators!$C$2:$C$1491,0),1)</f>
        <v>indAn29</v>
      </c>
      <c r="AG2" s="3" t="str">
        <f>INDEX([1]indicators!$I$2:$I$1491,MATCH(AG$1,[1]indicators!$C$2:$C$1491,0),1)</f>
        <v>indAn30</v>
      </c>
      <c r="AH2" s="3" t="str">
        <f>INDEX([1]indicators!$I$2:$I$1491,MATCH(AH$1,[1]indicators!$C$2:$C$1491,0),1)</f>
        <v>indAn31</v>
      </c>
      <c r="AI2" s="3" t="str">
        <f>INDEX([1]indicators!$I$2:$I$1491,MATCH(AI$1,[1]indicators!$C$2:$C$1491,0),1)</f>
        <v>indAn32</v>
      </c>
      <c r="AJ2" s="3" t="str">
        <f>INDEX([1]indicators!$I$2:$I$1491,MATCH(AJ$1,[1]indicators!$C$2:$C$1491,0),1)</f>
        <v>indAn33</v>
      </c>
      <c r="AK2" s="3" t="str">
        <f>INDEX([1]indicators!$I$2:$I$1491,MATCH(AK$1,[1]indicators!$C$2:$C$1491,0),1)</f>
        <v>indAn34</v>
      </c>
      <c r="AL2" s="3" t="str">
        <f>INDEX([1]indicators!$I$2:$I$1491,MATCH(AL$1,[1]indicators!$C$2:$C$1491,0),1)</f>
        <v>indAn35</v>
      </c>
      <c r="AM2" s="3" t="str">
        <f>INDEX([1]indicators!$I$2:$I$1491,MATCH(AM$1,[1]indicators!$C$2:$C$1491,0),1)</f>
        <v>indAn36</v>
      </c>
      <c r="AN2" s="3" t="str">
        <f>INDEX([1]indicators!$I$2:$I$1491,MATCH(AN$1,[1]indicators!$C$2:$C$1491,0),1)</f>
        <v>indAn37</v>
      </c>
      <c r="AO2" s="3" t="str">
        <f>INDEX([1]indicators!$I$2:$I$1491,MATCH(AO$1,[1]indicators!$C$2:$C$1491,0),1)</f>
        <v>indAn38</v>
      </c>
      <c r="AP2" s="3" t="str">
        <f>INDEX([1]indicators!$I$2:$I$1491,MATCH(AP$1,[1]indicators!$C$2:$C$1491,0),1)</f>
        <v>indAn39</v>
      </c>
      <c r="AQ2" s="3" t="str">
        <f>INDEX([1]indicators!$I$2:$I$1491,MATCH(AQ$1,[1]indicators!$C$2:$C$1491,0),1)</f>
        <v>indAn42</v>
      </c>
      <c r="AR2" s="3" t="str">
        <f>INDEX([1]indicators!$I$2:$I$1491,MATCH(AR$1,[1]indicators!$C$2:$C$1491,0),1)</f>
        <v>indAn43</v>
      </c>
      <c r="AS2" s="3" t="str">
        <f>INDEX([1]indicators!$I$2:$I$1491,MATCH(AS$1,[1]indicators!$C$2:$C$1491,0),1)</f>
        <v>indAn44</v>
      </c>
      <c r="AT2" s="3" t="str">
        <f>INDEX([1]indicators!$I$2:$I$1491,MATCH(AT$1,[1]indicators!$C$2:$C$1491,0),1)</f>
        <v>indAn45</v>
      </c>
      <c r="AU2" s="3" t="str">
        <f>INDEX([1]indicators!$I$2:$I$1491,MATCH(AU$1,[1]indicators!$C$2:$C$1491,0),1)</f>
        <v>indAn46</v>
      </c>
      <c r="AV2" s="3" t="str">
        <f>INDEX([1]indicators!$I$2:$I$1491,MATCH(AV$1,[1]indicators!$C$2:$C$1491,0),1)</f>
        <v>indAn47</v>
      </c>
      <c r="AW2" s="3" t="str">
        <f>INDEX([1]indicators!$I$2:$I$1491,MATCH(AW$1,[1]indicators!$C$2:$C$1491,0),1)</f>
        <v>indAn48</v>
      </c>
      <c r="AX2" s="3" t="str">
        <f>INDEX([1]indicators!$I$2:$I$1491,MATCH(AX$1,[1]indicators!$C$2:$C$1491,0),1)</f>
        <v>indAn49</v>
      </c>
      <c r="AY2" s="3" t="str">
        <f>INDEX([1]indicators!$I$2:$I$1491,MATCH(AY$1,[1]indicators!$C$2:$C$1491,0),1)</f>
        <v>indAn50</v>
      </c>
      <c r="AZ2" s="3" t="str">
        <f>INDEX([1]indicators!$I$2:$I$1491,MATCH(AZ$1,[1]indicators!$C$2:$C$1491,0),1)</f>
        <v>indAn51</v>
      </c>
      <c r="BA2" s="3" t="str">
        <f>INDEX([1]indicators!$I$2:$I$1491,MATCH(BA$1,[1]indicators!$C$2:$C$1491,0),1)</f>
        <v>indAn52</v>
      </c>
      <c r="BB2" s="3" t="str">
        <f>INDEX([1]indicators!$I$2:$I$1491,MATCH(BB$1,[1]indicators!$C$2:$C$1491,0),1)</f>
        <v>indAn53</v>
      </c>
      <c r="BC2" s="3" t="str">
        <f>INDEX([1]indicators!$I$2:$I$1491,MATCH(BC$1,[1]indicators!$C$2:$C$1491,0),1)</f>
        <v>indAn54</v>
      </c>
      <c r="BD2" s="3" t="str">
        <f>INDEX([1]indicators!$I$2:$I$1491,MATCH(BD$1,[1]indicators!$C$2:$C$1491,0),1)</f>
        <v>indAn55</v>
      </c>
      <c r="BE2" s="3" t="str">
        <f>INDEX([1]indicators!$I$2:$I$1491,MATCH(BE$1,[1]indicators!$C$2:$C$1491,0),1)</f>
        <v>indAn56</v>
      </c>
      <c r="BF2" s="3" t="str">
        <f>INDEX([1]indicators!$I$2:$I$1491,MATCH(BF$1,[1]indicators!$C$2:$C$1491,0),1)</f>
        <v>indAn57</v>
      </c>
      <c r="BG2" s="3" t="str">
        <f>INDEX([1]indicators!$I$2:$I$1491,MATCH(BG$1,[1]indicators!$C$2:$C$1491,0),1)</f>
        <v>indAn58</v>
      </c>
      <c r="BH2" s="3" t="str">
        <f>INDEX([1]indicators!$I$2:$I$1491,MATCH(BH$1,[1]indicators!$C$2:$C$1491,0),1)</f>
        <v>indAn59</v>
      </c>
      <c r="BI2" s="3" t="str">
        <f>INDEX([1]indicators!$I$2:$I$1491,MATCH(BI$1,[1]indicators!$C$2:$C$1491,0),1)</f>
        <v>indAn60</v>
      </c>
      <c r="BJ2" s="3" t="str">
        <f>INDEX([1]indicators!$I$2:$I$1491,MATCH(BJ$1,[1]indicators!$C$2:$C$1491,0),1)</f>
        <v>indAn61</v>
      </c>
      <c r="BK2" s="3" t="str">
        <f>INDEX([1]indicators!$I$2:$I$1491,MATCH(BK$1,[1]indicators!$C$2:$C$1491,0),1)</f>
        <v>indAn62</v>
      </c>
      <c r="BL2" s="3" t="str">
        <f>INDEX([1]indicators!$I$2:$I$1491,MATCH(BL$1,[1]indicators!$C$2:$C$1491,0),1)</f>
        <v>indAn63</v>
      </c>
      <c r="BM2" s="3" t="str">
        <f>INDEX([1]indicators!$I$2:$I$1491,MATCH(BM$1,[1]indicators!$C$2:$C$1491,0),1)</f>
        <v>indAn64</v>
      </c>
      <c r="BN2" s="3" t="str">
        <f>INDEX([1]indicators!$I$2:$I$1491,MATCH(BN$1,[1]indicators!$C$2:$C$1491,0),1)</f>
        <v>indAn65</v>
      </c>
      <c r="BO2" s="3" t="str">
        <f>INDEX([1]indicators!$I$2:$I$1491,MATCH(BO$1,[1]indicators!$C$2:$C$1491,0),1)</f>
        <v>indAn66</v>
      </c>
      <c r="BP2" s="3" t="str">
        <f>INDEX([1]indicators!$I$2:$I$1491,MATCH(BP$1,[1]indicators!$C$2:$C$1491,0),1)</f>
        <v>indAn67</v>
      </c>
      <c r="BQ2" s="3" t="str">
        <f>INDEX([1]indicators!$I$2:$I$1491,MATCH(BQ$1,[1]indicators!$C$2:$C$1491,0),1)</f>
        <v>indAn68</v>
      </c>
      <c r="BR2" s="3" t="str">
        <f>INDEX([1]indicators!$I$2:$I$1491,MATCH(BR$1,[1]indicators!$C$2:$C$1491,0),1)</f>
        <v>indAn69</v>
      </c>
      <c r="BS2" s="3" t="str">
        <f>INDEX([1]indicators!$I$2:$I$1491,MATCH(BS$1,[1]indicators!$C$2:$C$1491,0),1)</f>
        <v>indAn70</v>
      </c>
      <c r="BT2" s="3" t="str">
        <f>INDEX([1]indicators!$I$2:$I$1491,MATCH(BT$1,[1]indicators!$C$2:$C$1491,0),1)</f>
        <v>indAn71</v>
      </c>
      <c r="BU2" s="3" t="str">
        <f>INDEX([1]indicators!$I$2:$I$1491,MATCH(BU$1,[1]indicators!$C$2:$C$1491,0),1)</f>
        <v>indAn72</v>
      </c>
      <c r="BV2" s="3" t="str">
        <f>INDEX([1]indicators!$I$2:$I$1491,MATCH(BV$1,[1]indicators!$C$2:$C$1491,0),1)</f>
        <v>indAn73</v>
      </c>
      <c r="BW2" s="3" t="str">
        <f>INDEX([1]indicators!$I$2:$I$1491,MATCH(BW$1,[1]indicators!$C$2:$C$1491,0),1)</f>
        <v>indAn74</v>
      </c>
      <c r="BX2" s="3" t="str">
        <f>INDEX([1]indicators!$I$2:$I$1491,MATCH(BX$1,[1]indicators!$C$2:$C$1491,0),1)</f>
        <v>indAn75</v>
      </c>
      <c r="BY2" s="3" t="str">
        <f>INDEX([1]indicators!$I$2:$I$1491,MATCH(BY$1,[1]indicators!$C$2:$C$1491,0),1)</f>
        <v>indAn76</v>
      </c>
      <c r="BZ2" s="3" t="str">
        <f>INDEX([1]indicators!$I$2:$I$1491,MATCH(BZ$1,[1]indicators!$C$2:$C$1491,0),1)</f>
        <v>indAn77</v>
      </c>
      <c r="CA2" s="3" t="str">
        <f>INDEX([1]indicators!$I$2:$I$1491,MATCH(CA$1,[1]indicators!$C$2:$C$1491,0),1)</f>
        <v>indAn78</v>
      </c>
      <c r="CB2" s="3" t="str">
        <f>INDEX([1]indicators!$I$2:$I$1491,MATCH(CB$1,[1]indicators!$C$2:$C$1491,0),1)</f>
        <v>indAn79</v>
      </c>
      <c r="CC2" s="3" t="str">
        <f>INDEX([1]indicators!$I$2:$I$1491,MATCH(CC$1,[1]indicators!$C$2:$C$1491,0),1)</f>
        <v>indAn80</v>
      </c>
      <c r="CD2" s="3" t="str">
        <f>INDEX([1]indicators!$I$2:$I$1491,MATCH(CD$1,[1]indicators!$C$2:$C$1491,0),1)</f>
        <v>indAn81</v>
      </c>
      <c r="CE2" s="3" t="str">
        <f>INDEX([1]indicators!$I$2:$I$1491,MATCH(CE$1,[1]indicators!$C$2:$C$1491,0),1)</f>
        <v>indAn82</v>
      </c>
      <c r="CF2" s="3" t="str">
        <f>INDEX([1]indicators!$I$2:$I$1491,MATCH(CF$1,[1]indicators!$C$2:$C$1491,0),1)</f>
        <v>indAn83</v>
      </c>
      <c r="CG2" s="3" t="str">
        <f>INDEX([1]indicators!$I$2:$I$1491,MATCH(CG$1,[1]indicators!$C$2:$C$1491,0),1)</f>
        <v>indAn84</v>
      </c>
      <c r="CH2" s="3" t="str">
        <f>INDEX([1]indicators!$I$2:$I$1491,MATCH(CH$1,[1]indicators!$C$2:$C$1491,0),1)</f>
        <v>indAn85</v>
      </c>
      <c r="CI2" s="3" t="str">
        <f>INDEX([1]indicators!$I$2:$I$1491,MATCH(CI$1,[1]indicators!$C$2:$C$1491,0),1)</f>
        <v>indAn86</v>
      </c>
      <c r="CJ2" s="3" t="str">
        <f>INDEX([1]indicators!$I$2:$I$1491,MATCH(CJ$1,[1]indicators!$C$2:$C$1491,0),1)</f>
        <v>indAn87</v>
      </c>
      <c r="CK2" s="3" t="str">
        <f>INDEX([1]indicators!$I$2:$I$1491,MATCH(CK$1,[1]indicators!$C$2:$C$1491,0),1)</f>
        <v>indAn88</v>
      </c>
      <c r="CL2" s="3" t="str">
        <f>INDEX([1]indicators!$I$2:$I$1491,MATCH(CL$1,[1]indicators!$C$2:$C$1491,0),1)</f>
        <v>indAn89</v>
      </c>
      <c r="CM2" s="3" t="str">
        <f>INDEX([1]indicators!$I$2:$I$1491,MATCH(CM$1,[1]indicators!$C$2:$C$1491,0),1)</f>
        <v>indAn90</v>
      </c>
      <c r="CN2" s="3" t="str">
        <f>INDEX([1]indicators!$I$2:$I$1491,MATCH(CN$1,[1]indicators!$C$2:$C$1491,0),1)</f>
        <v>indAn91</v>
      </c>
      <c r="CO2" s="3" t="str">
        <f>INDEX([1]indicators!$I$2:$I$1491,MATCH(CO$1,[1]indicators!$C$2:$C$1491,0),1)</f>
        <v>indAn92</v>
      </c>
      <c r="CP2" s="3" t="str">
        <f>INDEX([1]indicators!$I$2:$I$1491,MATCH(CP$1,[1]indicators!$C$2:$C$1491,0),1)</f>
        <v>indAn93</v>
      </c>
      <c r="CQ2" s="3" t="str">
        <f>INDEX([1]indicators!$I$2:$I$1491,MATCH(CQ$1,[1]indicators!$C$2:$C$1491,0),1)</f>
        <v>indAn94</v>
      </c>
      <c r="CR2" s="3" t="str">
        <f>INDEX([1]indicators!$I$2:$I$1491,MATCH(CR$1,[1]indicators!$C$2:$C$1491,0),1)</f>
        <v>indAn95</v>
      </c>
      <c r="CS2" s="3" t="str">
        <f>INDEX([1]indicators!$I$2:$I$1491,MATCH(CS$1,[1]indicators!$C$2:$C$1491,0),1)</f>
        <v>indAn96</v>
      </c>
      <c r="CT2" s="3" t="str">
        <f>INDEX([1]indicators!$I$2:$I$1491,MATCH(CT$1,[1]indicators!$C$2:$C$1491,0),1)</f>
        <v>indAn97</v>
      </c>
      <c r="CU2" s="3" t="str">
        <f>INDEX([1]indicators!$I$2:$I$1491,MATCH(CU$1,[1]indicators!$C$2:$C$1491,0),1)</f>
        <v>indAn98</v>
      </c>
      <c r="CV2" s="3" t="str">
        <f>INDEX([1]indicators!$I$2:$I$1491,MATCH(CV$1,[1]indicators!$C$2:$C$1491,0),1)</f>
        <v>indAn99</v>
      </c>
      <c r="CW2" s="3" t="str">
        <f>INDEX([1]indicators!$I$2:$I$1491,MATCH(CW$1,[1]indicators!$C$2:$C$1491,0),1)</f>
        <v>indAn100</v>
      </c>
      <c r="CX2" s="3" t="str">
        <f>INDEX([1]indicators!$I$2:$I$1491,MATCH(CX$1,[1]indicators!$C$2:$C$1491,0),1)</f>
        <v>indAn101</v>
      </c>
      <c r="CY2" s="3" t="str">
        <f>INDEX([1]indicators!$I$2:$I$1491,MATCH(CY$1,[1]indicators!$C$2:$C$1491,0),1)</f>
        <v>indAn102</v>
      </c>
      <c r="CZ2" s="3" t="str">
        <f>INDEX([1]indicators!$I$2:$I$1491,MATCH(CZ$1,[1]indicators!$C$2:$C$1491,0),1)</f>
        <v>indAn103</v>
      </c>
      <c r="DA2" s="3" t="str">
        <f>INDEX([1]indicators!$I$2:$I$1491,MATCH(DA$1,[1]indicators!$C$2:$C$1491,0),1)</f>
        <v>indAn104</v>
      </c>
      <c r="DB2" s="3" t="str">
        <f>INDEX([1]indicators!$I$2:$I$1491,MATCH(DB$1,[1]indicators!$C$2:$C$1491,0),1)</f>
        <v>indAn105</v>
      </c>
      <c r="DC2" s="3" t="str">
        <f>INDEX([1]indicators!$I$2:$I$1491,MATCH(DC$1,[1]indicators!$C$2:$C$1491,0),1)</f>
        <v>indAn106</v>
      </c>
      <c r="DD2" s="3" t="str">
        <f>INDEX([1]indicators!$I$2:$I$1491,MATCH(DD$1,[1]indicators!$C$2:$C$1491,0),1)</f>
        <v>indAn107</v>
      </c>
      <c r="DE2" s="3" t="str">
        <f>INDEX([1]indicators!$I$2:$I$1491,MATCH(DE$1,[1]indicators!$C$2:$C$1491,0),1)</f>
        <v>indAn108</v>
      </c>
      <c r="DF2" s="3" t="str">
        <f>INDEX([1]indicators!$I$2:$I$1491,MATCH(DF$1,[1]indicators!$C$2:$C$1491,0),1)</f>
        <v>indAn109</v>
      </c>
      <c r="DG2" s="3" t="str">
        <f>INDEX([1]indicators!$I$2:$I$1491,MATCH(DG$1,[1]indicators!$C$2:$C$1491,0),1)</f>
        <v>indAn110</v>
      </c>
      <c r="DH2" s="3" t="str">
        <f>INDEX([1]indicators!$I$2:$I$1491,MATCH(DH$1,[1]indicators!$C$2:$C$1491,0),1)</f>
        <v>indAn111</v>
      </c>
      <c r="DI2" s="3" t="str">
        <f>INDEX([1]indicators!$I$2:$I$1491,MATCH(DI$1,[1]indicators!$C$2:$C$1491,0),1)</f>
        <v>indAn112</v>
      </c>
      <c r="DJ2" s="3" t="str">
        <f>INDEX([1]indicators!$I$2:$I$1491,MATCH(DJ$1,[1]indicators!$C$2:$C$1491,0),1)</f>
        <v>indAn113</v>
      </c>
      <c r="DK2" s="3" t="str">
        <f>INDEX([1]indicators!$I$2:$I$1491,MATCH(DK$1,[1]indicators!$C$2:$C$1491,0),1)</f>
        <v>indAn114</v>
      </c>
      <c r="DL2" s="3" t="str">
        <f>INDEX([1]indicators!$I$2:$I$1491,MATCH(DL$1,[1]indicators!$C$2:$C$1491,0),1)</f>
        <v>indAn115</v>
      </c>
      <c r="DM2" s="3" t="str">
        <f>INDEX([1]indicators!$I$2:$I$1491,MATCH(DM$1,[1]indicators!$C$2:$C$1491,0),1)</f>
        <v>indAn116</v>
      </c>
      <c r="DN2" s="3" t="str">
        <f>INDEX([1]indicators!$I$2:$I$1491,MATCH(DN$1,[1]indicators!$C$2:$C$1491,0),1)</f>
        <v>indF99</v>
      </c>
      <c r="DO2" s="3" t="str">
        <f>INDEX([1]indicators!$I$2:$I$1491,MATCH(DO$1,[1]indicators!$C$2:$C$1491,0),1)</f>
        <v>indF100</v>
      </c>
      <c r="DP2" s="3" t="str">
        <f>INDEX([1]indicators!$I$2:$I$1491,MATCH(DP$1,[1]indicators!$C$2:$C$1491,0),1)</f>
        <v>indF101</v>
      </c>
      <c r="DQ2" s="3" t="str">
        <f>INDEX([1]indicators!$I$2:$I$1491,MATCH(DQ$1,[1]indicators!$C$2:$C$1491,0),1)</f>
        <v>indF102</v>
      </c>
      <c r="DR2" s="3" t="str">
        <f>INDEX([1]indicators!$I$2:$I$1491,MATCH(DR$1,[1]indicators!$C$2:$C$1491,0),1)</f>
        <v>indF103</v>
      </c>
      <c r="DS2" s="3" t="str">
        <f>INDEX([1]indicators!$I$2:$I$1491,MATCH(DS$1,[1]indicators!$C$2:$C$1491,0),1)</f>
        <v>indF104</v>
      </c>
      <c r="DT2" s="3" t="str">
        <f>INDEX([1]indicators!$I$2:$I$1491,MATCH(DT$1,[1]indicators!$C$2:$C$1491,0),1)</f>
        <v>indF105</v>
      </c>
      <c r="DU2" s="3" t="str">
        <f>INDEX([1]indicators!$I$2:$I$1491,MATCH(DU$1,[1]indicators!$C$2:$C$1491,0),1)</f>
        <v>indF106</v>
      </c>
    </row>
    <row r="3" spans="1:125" ht="15" customHeight="1" x14ac:dyDescent="0.2">
      <c r="A3" s="4" t="str">
        <f>crop!A3</f>
        <v>Conventional tillage (CT)</v>
      </c>
      <c r="B3" s="4" t="str">
        <f>crop!B3</f>
        <v>C.1.1</v>
      </c>
      <c r="C3" s="5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</row>
    <row r="4" spans="1:125" ht="15" customHeight="1" x14ac:dyDescent="0.2">
      <c r="A4" s="4" t="str">
        <f>crop!A4</f>
        <v>Reduced tillage (RT)</v>
      </c>
      <c r="B4" s="4" t="str">
        <f>crop!B4</f>
        <v>C.1.2</v>
      </c>
      <c r="C4" s="18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</row>
    <row r="5" spans="1:125" ht="15" customHeight="1" x14ac:dyDescent="0.2">
      <c r="A5" s="6" t="str">
        <f>crop!A5</f>
        <v>No tillage (NT)</v>
      </c>
      <c r="B5" s="6" t="str">
        <f>crop!B5</f>
        <v>C.1.3</v>
      </c>
      <c r="C5" s="18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</row>
    <row r="6" spans="1:125" ht="15" customHeight="1" x14ac:dyDescent="0.2">
      <c r="A6" s="7" t="str">
        <f>crop!A6</f>
        <v>Fall cover crop destructed before winter</v>
      </c>
      <c r="B6" s="7" t="str">
        <f>crop!B6</f>
        <v>C.2.1</v>
      </c>
      <c r="C6" s="18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</row>
    <row r="7" spans="1:125" ht="15" customHeight="1" x14ac:dyDescent="0.2">
      <c r="A7" s="4" t="str">
        <f>crop!A7</f>
        <v>Fall cover crop destructed early spring</v>
      </c>
      <c r="B7" s="4" t="str">
        <f>crop!B7</f>
        <v>C.2.2</v>
      </c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</row>
    <row r="8" spans="1:125" ht="15" customHeight="1" x14ac:dyDescent="0.2">
      <c r="A8" s="6" t="str">
        <f>crop!A8</f>
        <v>Permanent soil cover</v>
      </c>
      <c r="B8" s="6" t="str">
        <f>crop!B8</f>
        <v>C.2.3</v>
      </c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</row>
    <row r="9" spans="1:125" ht="15" customHeight="1" x14ac:dyDescent="0.2">
      <c r="A9" s="7" t="str">
        <f>crop!A9</f>
        <v>Straw removal</v>
      </c>
      <c r="B9" s="7" t="str">
        <f>crop!B9</f>
        <v>C.3.1</v>
      </c>
      <c r="C9" s="1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</row>
    <row r="10" spans="1:125" ht="15" customHeight="1" x14ac:dyDescent="0.2">
      <c r="A10" s="4" t="str">
        <f>crop!A10</f>
        <v>Straw left on soil</v>
      </c>
      <c r="B10" s="4" t="str">
        <f>crop!B10</f>
        <v>C.3.2</v>
      </c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</row>
    <row r="11" spans="1:125" ht="15" customHeight="1" x14ac:dyDescent="0.2">
      <c r="A11" s="8" t="str">
        <f>crop!A11</f>
        <v>On-farm organic fertilizers + input of mineral fertilizer</v>
      </c>
      <c r="B11" s="8" t="str">
        <f>crop!B11</f>
        <v>C.4.1</v>
      </c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</row>
    <row r="12" spans="1:125" ht="15" customHeight="1" x14ac:dyDescent="0.2">
      <c r="A12" s="10" t="str">
        <f>crop!A12</f>
        <v>On-farm organic fertilizers only</v>
      </c>
      <c r="B12" s="10" t="str">
        <f>crop!B12</f>
        <v>C.4.2</v>
      </c>
      <c r="C12" s="1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ht="15" customHeight="1" x14ac:dyDescent="0.2">
      <c r="A13" s="4" t="str">
        <f>crop!A13</f>
        <v>Systematic use of chemical fungicides</v>
      </c>
      <c r="B13" s="4" t="str">
        <f>crop!B13</f>
        <v>C.5.1</v>
      </c>
      <c r="C13" s="1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ht="15" customHeight="1" x14ac:dyDescent="0.2">
      <c r="A14" s="4" t="str">
        <f>crop!A14</f>
        <v>Sound approach of chemical fungicides</v>
      </c>
      <c r="B14" s="4" t="str">
        <f>crop!B14</f>
        <v>C.5.2</v>
      </c>
      <c r="C14" s="1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ht="15" customHeight="1" x14ac:dyDescent="0.2">
      <c r="A15" s="4" t="str">
        <f>crop!A15</f>
        <v>Biocontrol products against diseases</v>
      </c>
      <c r="B15" s="4" t="str">
        <f>crop!B15</f>
        <v>C.5.3</v>
      </c>
      <c r="C15" s="1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ht="15" customHeight="1" x14ac:dyDescent="0.2">
      <c r="A16" s="6" t="str">
        <f>crop!A16</f>
        <v>No direct protection against diseases</v>
      </c>
      <c r="B16" s="6" t="str">
        <f>crop!B16</f>
        <v>C.5.4</v>
      </c>
      <c r="C16" s="1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ht="15" customHeight="1" x14ac:dyDescent="0.2">
      <c r="A17" s="7" t="str">
        <f>crop!A17</f>
        <v>Systematic and sole use of chemical herbicides</v>
      </c>
      <c r="B17" s="7" t="str">
        <f>crop!B17</f>
        <v>C.6.1</v>
      </c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ht="15" customHeight="1" x14ac:dyDescent="0.2">
      <c r="A18" s="4" t="str">
        <f>crop!A18</f>
        <v>Sound approach of chemical herbicides + mechanical weed control</v>
      </c>
      <c r="B18" s="4" t="str">
        <f>crop!B18</f>
        <v>C.6.2</v>
      </c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ht="15" customHeight="1" x14ac:dyDescent="0.2">
      <c r="A19" s="6" t="str">
        <f>crop!A19</f>
        <v>Sole use of mechanical weed control</v>
      </c>
      <c r="B19" s="6" t="str">
        <f>crop!B19</f>
        <v>C.6.3</v>
      </c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ht="15" customHeight="1" x14ac:dyDescent="0.2">
      <c r="A20" s="7" t="str">
        <f>crop!A20</f>
        <v>Systematic use of chemical insecticides / molluscicides / nematicides</v>
      </c>
      <c r="B20" s="7" t="str">
        <f>crop!B20</f>
        <v>C.7.1</v>
      </c>
      <c r="C20" s="1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ht="15" customHeight="1" x14ac:dyDescent="0.2">
      <c r="A21" s="4" t="str">
        <f>crop!A21</f>
        <v>Sound approach of chemical insecticides / molluscicides / nematicides</v>
      </c>
      <c r="B21" s="4" t="str">
        <f>crop!B21</f>
        <v>C.7.2</v>
      </c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ht="15" customHeight="1" x14ac:dyDescent="0.2">
      <c r="A22" s="4" t="str">
        <f>crop!A22</f>
        <v>Biocontrol products (incl. pyrethrin) and other natural control techniques against pests</v>
      </c>
      <c r="B22" s="4" t="str">
        <f>crop!B22</f>
        <v>C.7.3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ht="15" customHeight="1" x14ac:dyDescent="0.2">
      <c r="A23" s="6" t="str">
        <f>crop!A23</f>
        <v>No direct protection against animal pests</v>
      </c>
      <c r="B23" s="6" t="str">
        <f>crop!B23</f>
        <v>C.7.4</v>
      </c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ht="15" customHeight="1" x14ac:dyDescent="0.2">
      <c r="A24" s="7" t="str">
        <f>crop!A24</f>
        <v>High yielding cultivars</v>
      </c>
      <c r="B24" s="7" t="str">
        <f>crop!B24</f>
        <v>C.8.1</v>
      </c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ht="15" customHeight="1" x14ac:dyDescent="0.2">
      <c r="A25" s="6" t="str">
        <f>crop!A25</f>
        <v>Resistant cultivars and/or mix of varieties</v>
      </c>
      <c r="B25" s="6" t="str">
        <f>crop!B25</f>
        <v>C.8.2</v>
      </c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ht="15" customHeight="1" x14ac:dyDescent="0.2">
      <c r="A26" s="4" t="str">
        <f>crop!A26</f>
        <v>Temporary grassland composed of grass</v>
      </c>
      <c r="B26" s="4" t="str">
        <f>crop!B26</f>
        <v>C.9.1</v>
      </c>
      <c r="C26" s="1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ht="15" customHeight="1" x14ac:dyDescent="0.2">
      <c r="A27" s="4" t="str">
        <f>crop!A27</f>
        <v>Temporary grassland composed of simple grass/legume mixtures</v>
      </c>
      <c r="B27" s="4" t="str">
        <f>crop!B27</f>
        <v>C.9.2</v>
      </c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ht="15" customHeight="1" x14ac:dyDescent="0.2">
      <c r="A28" s="6" t="str">
        <f>crop!A28</f>
        <v>Temporary grassland composed of complex grass/legume mixtures</v>
      </c>
      <c r="B28" s="6" t="str">
        <f>crop!B28</f>
        <v>C.9.3</v>
      </c>
      <c r="C28" s="1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ht="15" customHeight="1" x14ac:dyDescent="0.2">
      <c r="A29" s="7" t="str">
        <f>crop!A29</f>
        <v>No permanent grassland</v>
      </c>
      <c r="B29" s="7" t="str">
        <f>crop!B29</f>
        <v>C.10.1</v>
      </c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ht="15" customHeight="1" x14ac:dyDescent="0.2">
      <c r="A30" s="4" t="str">
        <f>crop!A30</f>
        <v>Permanent grassland occupy a small percentage of the farm area</v>
      </c>
      <c r="B30" s="4" t="str">
        <f>crop!B30</f>
        <v>C.10.2</v>
      </c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ht="15" customHeight="1" x14ac:dyDescent="0.2">
      <c r="A31" s="6" t="str">
        <f>crop!A31</f>
        <v>Permanent grassland occupy a high percentage of the farm area</v>
      </c>
      <c r="B31" s="6" t="str">
        <f>crop!B31</f>
        <v>C.10.3</v>
      </c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ht="15" customHeight="1" x14ac:dyDescent="0.2">
      <c r="A32" s="7" t="str">
        <f>crop!A32</f>
        <v>Sole crops</v>
      </c>
      <c r="B32" s="7" t="str">
        <f>crop!B32</f>
        <v>C.11.1</v>
      </c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ht="15" customHeight="1" x14ac:dyDescent="0.2">
      <c r="A33" s="6" t="str">
        <f>crop!A33</f>
        <v>Wheat/pea intercrops</v>
      </c>
      <c r="B33" s="6" t="str">
        <f>crop!B33</f>
        <v>C.11.2</v>
      </c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ht="15" customHeight="1" x14ac:dyDescent="0.2">
      <c r="A34" s="8" t="str">
        <f>crop!A34</f>
        <v>CS #1: maize - wheat</v>
      </c>
      <c r="B34" s="8" t="str">
        <f>crop!B34</f>
        <v>C.12.1</v>
      </c>
      <c r="C34" s="1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ht="15" customHeight="1" x14ac:dyDescent="0.2">
      <c r="A35" s="3" t="str">
        <f>crop!A35</f>
        <v>CS #1: rapeseed - wheat - maize - wheat</v>
      </c>
      <c r="B35" s="3" t="str">
        <f>crop!B35</f>
        <v>C.12.2</v>
      </c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  <row r="36" spans="1:125" ht="15" customHeight="1" x14ac:dyDescent="0.2">
      <c r="A36" s="3" t="str">
        <f>crop!A36</f>
        <v>CS #1: maize - wheat - maize - barley</v>
      </c>
      <c r="B36" s="3" t="str">
        <f>crop!B36</f>
        <v>C.12.3</v>
      </c>
      <c r="C36" s="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</row>
    <row r="37" spans="1:125" ht="15" customHeight="1" x14ac:dyDescent="0.2">
      <c r="A37" s="3" t="str">
        <f>crop!A37</f>
        <v>CS #1: alfalfa (3 years) - maize - wheat</v>
      </c>
      <c r="B37" s="3" t="str">
        <f>crop!B37</f>
        <v>C.12.4</v>
      </c>
      <c r="C37" s="9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</row>
    <row r="38" spans="1:125" ht="15" customHeight="1" x14ac:dyDescent="0.2">
      <c r="A38" s="3" t="str">
        <f>crop!A38</f>
        <v>CS #1: faba bean - wheat - rapeseed - maize</v>
      </c>
      <c r="B38" s="3" t="str">
        <f>crop!B38</f>
        <v>C.12.5</v>
      </c>
      <c r="C38" s="9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</row>
    <row r="39" spans="1:125" ht="15" customHeight="1" x14ac:dyDescent="0.2">
      <c r="A39" s="3" t="str">
        <f>crop!A39</f>
        <v>CS #1: grassland (4 years) - maize - maize</v>
      </c>
      <c r="B39" s="3" t="str">
        <f>crop!B39</f>
        <v>C.12.6</v>
      </c>
      <c r="C39" s="9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</row>
    <row r="40" spans="1:125" ht="15" customHeight="1" x14ac:dyDescent="0.2">
      <c r="A40" s="3" t="str">
        <f>crop!A40</f>
        <v>CS #1: grassland (3 years) - maize - wheat - barley</v>
      </c>
      <c r="B40" s="3" t="str">
        <f>crop!B40</f>
        <v>C.12.7</v>
      </c>
      <c r="C40" s="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</row>
    <row r="41" spans="1:125" ht="15" customHeight="1" x14ac:dyDescent="0.2">
      <c r="A41" s="3" t="str">
        <f>crop!A41</f>
        <v>CS #1: faba bean - wheat - maize - alfalfa (3 years) - barley - maize</v>
      </c>
      <c r="B41" s="3" t="str">
        <f>crop!B41</f>
        <v>C.12.8</v>
      </c>
      <c r="C41" s="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</row>
    <row r="42" spans="1:125" ht="15" customHeight="1" x14ac:dyDescent="0.2">
      <c r="A42" s="10" t="str">
        <f>crop!A42</f>
        <v>CS #1: grassland (3 years) - maize - wheat - faba bean - rapeseed</v>
      </c>
      <c r="B42" s="10" t="str">
        <f>crop!B42</f>
        <v>C.12.9</v>
      </c>
      <c r="C42" s="1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</row>
    <row r="43" spans="1:125" ht="15" customHeight="1" x14ac:dyDescent="0.2">
      <c r="A43" s="8" t="str">
        <f>crop!A43</f>
        <v>CS #2: maize - wheat</v>
      </c>
      <c r="B43" s="8" t="str">
        <f>crop!B43</f>
        <v>C.13.1</v>
      </c>
      <c r="C43" s="1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</row>
    <row r="44" spans="1:125" ht="15" customHeight="1" x14ac:dyDescent="0.2">
      <c r="A44" s="3" t="str">
        <f>crop!A44</f>
        <v>CS #2: rapeseed - wheat - maize - wheat</v>
      </c>
      <c r="B44" s="3" t="str">
        <f>crop!B44</f>
        <v>C.13.2</v>
      </c>
      <c r="C44" s="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</row>
    <row r="45" spans="1:125" ht="15" customHeight="1" x14ac:dyDescent="0.2">
      <c r="A45" s="3" t="str">
        <f>crop!A45</f>
        <v>CS #2: maize - wheat - maize - barley</v>
      </c>
      <c r="B45" s="3" t="str">
        <f>crop!B45</f>
        <v>C.13.3</v>
      </c>
      <c r="C45" s="9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</row>
    <row r="46" spans="1:125" ht="15" customHeight="1" x14ac:dyDescent="0.2">
      <c r="A46" s="3" t="str">
        <f>crop!A46</f>
        <v>CS #2: alfalfa (3 years) - maize - wheat</v>
      </c>
      <c r="B46" s="3" t="str">
        <f>crop!B46</f>
        <v>C.13.4</v>
      </c>
      <c r="C46" s="9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</row>
    <row r="47" spans="1:125" ht="15" customHeight="1" x14ac:dyDescent="0.2">
      <c r="A47" s="3" t="str">
        <f>crop!A47</f>
        <v>CS #2: faba bean - wheat - rapeseed - maize</v>
      </c>
      <c r="B47" s="3" t="str">
        <f>crop!B47</f>
        <v>C.13.5</v>
      </c>
      <c r="C47" s="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</row>
    <row r="48" spans="1:125" ht="15" customHeight="1" x14ac:dyDescent="0.2">
      <c r="A48" s="11" t="str">
        <f>crop!A48</f>
        <v>CS #2: grassland (4 years) - maize - maize</v>
      </c>
      <c r="B48" s="3" t="str">
        <f>crop!B48</f>
        <v>C.13.6</v>
      </c>
      <c r="C48" s="9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</row>
    <row r="49" spans="1:125" ht="15" customHeight="1" x14ac:dyDescent="0.2">
      <c r="A49" s="11" t="str">
        <f>crop!A49</f>
        <v>CS #2: grassland (3 years) - maize - wheat - barley</v>
      </c>
      <c r="B49" s="3" t="str">
        <f>crop!B49</f>
        <v>C.13.7</v>
      </c>
      <c r="C49" s="9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</row>
    <row r="50" spans="1:125" ht="15" customHeight="1" x14ac:dyDescent="0.2">
      <c r="A50" s="3" t="str">
        <f>crop!A50</f>
        <v>CS #2: faba bean - wheat - maize - alfalfa (3 years) - barley - maize</v>
      </c>
      <c r="B50" s="3" t="str">
        <f>crop!B50</f>
        <v>C.13.8</v>
      </c>
      <c r="C50" s="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</row>
    <row r="51" spans="1:125" ht="15" customHeight="1" x14ac:dyDescent="0.2">
      <c r="A51" s="10" t="str">
        <f>crop!A51</f>
        <v>CS #2: grassland (3 years) - maize - wheat - faba bean - rapeseed</v>
      </c>
      <c r="B51" s="10" t="str">
        <f>crop!B51</f>
        <v>C.13.9</v>
      </c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</row>
    <row r="52" spans="1:125" ht="15" customHeight="1" x14ac:dyDescent="0.2">
      <c r="A52" s="8" t="str">
        <f>crop!A52</f>
        <v>No particular green infrastructure elements</v>
      </c>
      <c r="B52" s="8" t="str">
        <f>crop!B52</f>
        <v>C.14.1</v>
      </c>
      <c r="C52" s="3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</row>
    <row r="53" spans="1:125" ht="15" customHeight="1" x14ac:dyDescent="0.2">
      <c r="A53" s="3" t="str">
        <f>crop!A53</f>
        <v>Sown field margins as green infrastructures: wildflowers strip</v>
      </c>
      <c r="B53" s="3" t="str">
        <f>crop!B53</f>
        <v>C.14.2</v>
      </c>
      <c r="C53" s="3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</row>
    <row r="54" spans="1:125" ht="15" customHeight="1" x14ac:dyDescent="0.2">
      <c r="A54" s="3" t="str">
        <f>crop!A54</f>
        <v>Sown field margins as green infrastructures: beetle bank (for birds and polyphagous predator)</v>
      </c>
      <c r="B54" s="3" t="str">
        <f>crop!B54</f>
        <v>C.14.3</v>
      </c>
      <c r="C54" s="3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</row>
    <row r="55" spans="1:125" ht="15" customHeight="1" x14ac:dyDescent="0.2">
      <c r="A55" s="3" t="str">
        <f>crop!A55</f>
        <v>Semi-natural field margins as green infrastructures: hedgerows </v>
      </c>
      <c r="B55" s="3" t="str">
        <f>crop!B55</f>
        <v>C.14.4</v>
      </c>
      <c r="C55" s="3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</row>
    <row r="56" spans="1:125" ht="15" customHeight="1" x14ac:dyDescent="0.2">
      <c r="A56" s="10" t="str">
        <f>crop!A56</f>
        <v>Semi-natural field margins as green infrastructures: grass margins</v>
      </c>
      <c r="B56" s="10" t="str">
        <f>crop!B56</f>
        <v>C.14.5</v>
      </c>
      <c r="C56" s="3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</row>
    <row r="57" spans="1:125" ht="15" customHeight="1" x14ac:dyDescent="0.2">
      <c r="A57" s="3" t="str">
        <f>crop!A57</f>
        <v>No agroforestry</v>
      </c>
      <c r="B57" s="3" t="str">
        <f>crop!B57</f>
        <v>C.15.1</v>
      </c>
      <c r="C57" s="3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</row>
    <row r="58" spans="1:125" ht="15" customHeight="1" x14ac:dyDescent="0.2">
      <c r="A58" s="10" t="str">
        <f>crop!A58</f>
        <v>In-field agroforestry</v>
      </c>
      <c r="B58" s="10" t="str">
        <f>crop!B58</f>
        <v>C.15.2</v>
      </c>
      <c r="C58" s="3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</row>
    <row r="59" spans="1:125" ht="15" customHeight="1" x14ac:dyDescent="0.2">
      <c r="A59" s="2" t="str">
        <f>crop!A59</f>
        <v>Balanced strategy between farmer income and investment</v>
      </c>
      <c r="B59" s="2" t="str">
        <f>crop!B59</f>
        <v>E.1.1</v>
      </c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</row>
    <row r="60" spans="1:125" ht="15" customHeight="1" x14ac:dyDescent="0.2">
      <c r="A60" s="2" t="str">
        <f>crop!A60</f>
        <v>Investment-oriented strategy</v>
      </c>
      <c r="B60" s="2" t="str">
        <f>crop!B60</f>
        <v>E.1.2</v>
      </c>
      <c r="C60" s="1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</row>
    <row r="61" spans="1:125" ht="15" customHeight="1" x14ac:dyDescent="0.2">
      <c r="A61" s="10" t="str">
        <f>crop!A61</f>
        <v>Income-oriented strategy</v>
      </c>
      <c r="B61" s="10" t="str">
        <f>crop!B61</f>
        <v>E.1.3</v>
      </c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</row>
    <row r="62" spans="1:125" ht="15" customHeight="1" x14ac:dyDescent="0.2">
      <c r="A62" s="3" t="str">
        <f>crop!A62</f>
        <v>Conventional farming</v>
      </c>
      <c r="B62" s="3" t="str">
        <f>crop!B62</f>
        <v>G.1.1</v>
      </c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</row>
    <row r="63" spans="1:125" ht="15" customHeight="1" x14ac:dyDescent="0.2">
      <c r="A63" s="3" t="str">
        <f>crop!A63</f>
        <v>Organic farming</v>
      </c>
      <c r="B63" s="3" t="str">
        <f>crop!B63</f>
        <v>G.1.2</v>
      </c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</row>
    <row r="64" spans="1:125" ht="15" customHeight="1" x14ac:dyDescent="0.2">
      <c r="A64" s="7" t="str">
        <f>crop!A64</f>
        <v>Cattle breed is Holstein</v>
      </c>
      <c r="B64" s="7" t="str">
        <f>crop!B64</f>
        <v>A.1.1</v>
      </c>
      <c r="C64" s="18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</row>
    <row r="65" spans="1:125" ht="15" customHeight="1" x14ac:dyDescent="0.2">
      <c r="A65" s="4" t="str">
        <f>crop!A65</f>
        <v>Cattle breed is Siemmental</v>
      </c>
      <c r="B65" s="4" t="str">
        <f>crop!B65</f>
        <v>A.1.2</v>
      </c>
      <c r="C65" s="18"/>
      <c r="D65" s="16"/>
      <c r="E65" s="16"/>
      <c r="F65" s="16"/>
      <c r="G65" s="16"/>
      <c r="H65" s="16"/>
      <c r="I65" s="16"/>
      <c r="J65" s="16"/>
      <c r="K65" s="16"/>
      <c r="L65" s="16"/>
      <c r="M65" s="16">
        <v>0.95</v>
      </c>
      <c r="N65" s="16">
        <v>1.05</v>
      </c>
      <c r="O65" s="16">
        <v>1.03</v>
      </c>
      <c r="P65" s="16"/>
      <c r="Q65" s="16">
        <v>0.97</v>
      </c>
      <c r="R65" s="16"/>
      <c r="S65" s="16">
        <v>1.06</v>
      </c>
      <c r="T65" s="16">
        <v>1.1499999999999999</v>
      </c>
      <c r="U65" s="16">
        <v>1.1399999999999999</v>
      </c>
      <c r="V65" s="16">
        <v>0.75</v>
      </c>
      <c r="W65" s="16">
        <v>1.05</v>
      </c>
      <c r="X65" s="16">
        <v>1.03</v>
      </c>
      <c r="Y65" s="16">
        <v>1.04</v>
      </c>
      <c r="Z65" s="16"/>
      <c r="AA65" s="16"/>
      <c r="AB65" s="16"/>
      <c r="AC65" s="16"/>
      <c r="AD65" s="16">
        <v>1.04</v>
      </c>
      <c r="AE65" s="16"/>
      <c r="AF65" s="16"/>
      <c r="AG65" s="16"/>
      <c r="AH65" s="16"/>
      <c r="AI65" s="16"/>
      <c r="AJ65" s="16"/>
      <c r="AK65" s="16"/>
      <c r="AL65" s="16">
        <v>0.9</v>
      </c>
      <c r="AM65" s="16">
        <v>0.8</v>
      </c>
      <c r="AN65" s="16">
        <v>0.8</v>
      </c>
      <c r="AO65" s="16">
        <v>0.8</v>
      </c>
      <c r="AP65" s="16">
        <v>0.9</v>
      </c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7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</row>
    <row r="66" spans="1:125" ht="15" customHeight="1" x14ac:dyDescent="0.2">
      <c r="A66" s="15" t="str">
        <f>crop!A66</f>
        <v>Cattle breed is Montbéliarde</v>
      </c>
      <c r="B66" s="6" t="str">
        <f>crop!B66</f>
        <v>A.1.3</v>
      </c>
      <c r="C66" s="18"/>
      <c r="D66" s="16"/>
      <c r="E66" s="16"/>
      <c r="F66" s="16"/>
      <c r="G66" s="16"/>
      <c r="H66" s="16"/>
      <c r="I66" s="16"/>
      <c r="J66" s="16"/>
      <c r="K66" s="16"/>
      <c r="L66" s="16"/>
      <c r="M66" s="16">
        <v>0.95</v>
      </c>
      <c r="N66" s="16">
        <v>1.05</v>
      </c>
      <c r="O66" s="16">
        <v>1.03</v>
      </c>
      <c r="P66" s="16"/>
      <c r="Q66" s="16">
        <v>0.97</v>
      </c>
      <c r="R66" s="16"/>
      <c r="S66" s="16">
        <v>1.06</v>
      </c>
      <c r="T66" s="16">
        <v>1.1499999999999999</v>
      </c>
      <c r="U66" s="16">
        <v>1.1399999999999999</v>
      </c>
      <c r="V66" s="16">
        <v>0.88</v>
      </c>
      <c r="W66" s="16">
        <v>1.02</v>
      </c>
      <c r="X66" s="16">
        <v>1.05</v>
      </c>
      <c r="Y66" s="16">
        <v>1.04</v>
      </c>
      <c r="Z66" s="16"/>
      <c r="AA66" s="16"/>
      <c r="AB66" s="16"/>
      <c r="AC66" s="16"/>
      <c r="AD66" s="16">
        <v>1.04</v>
      </c>
      <c r="AE66" s="16"/>
      <c r="AF66" s="16"/>
      <c r="AG66" s="16"/>
      <c r="AH66" s="16"/>
      <c r="AI66" s="16"/>
      <c r="AJ66" s="16"/>
      <c r="AK66" s="16"/>
      <c r="AL66" s="16">
        <v>0.9</v>
      </c>
      <c r="AM66" s="16">
        <v>0.8</v>
      </c>
      <c r="AN66" s="16">
        <v>0.8</v>
      </c>
      <c r="AO66" s="16">
        <v>0.8</v>
      </c>
      <c r="AP66" s="16">
        <v>0.9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</row>
    <row r="67" spans="1:125" ht="15" customHeight="1" x14ac:dyDescent="0.2">
      <c r="A67" s="1" t="str">
        <f>crop!A67</f>
        <v>Initial herd size</v>
      </c>
      <c r="B67" s="1" t="str">
        <f>crop!B67</f>
        <v>A.2.1</v>
      </c>
      <c r="C67" s="18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16"/>
      <c r="O67" s="16"/>
      <c r="P67" s="16"/>
      <c r="Q67" s="16"/>
      <c r="R67" s="16"/>
      <c r="S67" s="20"/>
      <c r="T67" s="20"/>
      <c r="U67" s="20"/>
      <c r="V67" s="20"/>
      <c r="W67" s="20"/>
      <c r="X67" s="20"/>
      <c r="Y67" s="21"/>
      <c r="Z67" s="21"/>
      <c r="AA67" s="21"/>
      <c r="AB67" s="21"/>
      <c r="AC67" s="21"/>
      <c r="AD67" s="21"/>
      <c r="AE67" s="21"/>
      <c r="AF67" s="21"/>
      <c r="AG67" s="21"/>
      <c r="AH67" s="20"/>
      <c r="AI67" s="20"/>
      <c r="AJ67" s="20"/>
      <c r="AK67" s="20"/>
      <c r="AL67" s="21"/>
      <c r="AM67" s="21"/>
      <c r="AN67" s="21"/>
      <c r="AO67" s="21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17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20"/>
      <c r="DO67" s="20"/>
      <c r="DP67" s="20"/>
      <c r="DQ67" s="20"/>
      <c r="DR67" s="20"/>
      <c r="DS67" s="20"/>
      <c r="DT67" s="20"/>
      <c r="DU67" s="20"/>
    </row>
    <row r="68" spans="1:125" ht="15" customHeight="1" x14ac:dyDescent="0.2">
      <c r="A68" s="1" t="str">
        <f>crop!A68</f>
        <v>15% increase of initial herd size (no building modification)</v>
      </c>
      <c r="B68" s="1" t="str">
        <f>crop!B68</f>
        <v>A.2.2</v>
      </c>
      <c r="C68" s="18"/>
      <c r="D68" s="20"/>
      <c r="E68" s="20"/>
      <c r="F68" s="20"/>
      <c r="G68" s="20"/>
      <c r="H68" s="20"/>
      <c r="I68" s="20"/>
      <c r="J68" s="20"/>
      <c r="K68" s="20"/>
      <c r="L68" s="20"/>
      <c r="M68" s="21">
        <v>1.03</v>
      </c>
      <c r="N68" s="16"/>
      <c r="O68" s="21">
        <v>0.98</v>
      </c>
      <c r="P68" s="16"/>
      <c r="Q68" s="16"/>
      <c r="R68" s="21">
        <v>1.1499999999999999</v>
      </c>
      <c r="S68" s="20"/>
      <c r="T68" s="20"/>
      <c r="U68" s="20"/>
      <c r="V68" s="20"/>
      <c r="W68" s="20"/>
      <c r="X68" s="20"/>
      <c r="Y68" s="21">
        <v>1.02</v>
      </c>
      <c r="Z68" s="21">
        <v>0.9</v>
      </c>
      <c r="AA68" s="21">
        <v>0.9</v>
      </c>
      <c r="AB68" s="21">
        <v>0.9</v>
      </c>
      <c r="AC68" s="21">
        <v>0.9</v>
      </c>
      <c r="AD68" s="21">
        <v>1.1000000000000001</v>
      </c>
      <c r="AE68" s="21">
        <v>1.1000000000000001</v>
      </c>
      <c r="AF68" s="21">
        <v>1.1000000000000001</v>
      </c>
      <c r="AG68" s="21">
        <v>1.1000000000000001</v>
      </c>
      <c r="AH68" s="20"/>
      <c r="AI68" s="20"/>
      <c r="AJ68" s="20"/>
      <c r="AK68" s="20"/>
      <c r="AL68" s="21">
        <v>1.05</v>
      </c>
      <c r="AM68" s="21">
        <v>1.03</v>
      </c>
      <c r="AN68" s="21">
        <v>1.03</v>
      </c>
      <c r="AO68" s="21">
        <v>1.03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17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20"/>
      <c r="DO68" s="20"/>
      <c r="DP68" s="20"/>
      <c r="DQ68" s="20"/>
      <c r="DR68" s="20"/>
      <c r="DS68" s="20"/>
      <c r="DT68" s="20"/>
      <c r="DU68" s="20"/>
    </row>
    <row r="69" spans="1:125" ht="15" customHeight="1" x14ac:dyDescent="0.2">
      <c r="A69" s="1" t="str">
        <f>crop!A69</f>
        <v>15% increase of initial herd size (building modification)</v>
      </c>
      <c r="B69" s="1" t="str">
        <f>crop!B69</f>
        <v>A.2.3</v>
      </c>
      <c r="C69" s="18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16"/>
      <c r="O69" s="16"/>
      <c r="P69" s="16"/>
      <c r="Q69" s="16"/>
      <c r="R69" s="21">
        <v>1.1499999999999999</v>
      </c>
      <c r="S69" s="20"/>
      <c r="T69" s="20"/>
      <c r="U69" s="20"/>
      <c r="V69" s="20"/>
      <c r="W69" s="20"/>
      <c r="X69" s="20"/>
      <c r="Y69" s="21"/>
      <c r="Z69" s="21"/>
      <c r="AA69" s="21"/>
      <c r="AB69" s="21"/>
      <c r="AC69" s="21"/>
      <c r="AD69" s="21"/>
      <c r="AE69" s="21"/>
      <c r="AF69" s="21"/>
      <c r="AG69" s="21"/>
      <c r="AH69" s="20"/>
      <c r="AI69" s="20"/>
      <c r="AJ69" s="20"/>
      <c r="AK69" s="20"/>
      <c r="AL69" s="21"/>
      <c r="AM69" s="21"/>
      <c r="AN69" s="21"/>
      <c r="AO69" s="21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17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20"/>
      <c r="DO69" s="20"/>
      <c r="DP69" s="20"/>
      <c r="DQ69" s="20"/>
      <c r="DR69" s="20"/>
      <c r="DS69" s="20"/>
      <c r="DT69" s="20"/>
      <c r="DU69" s="20"/>
    </row>
    <row r="70" spans="1:125" ht="15" customHeight="1" x14ac:dyDescent="0.2">
      <c r="A70" s="1" t="str">
        <f>crop!A70</f>
        <v>30% increase of initial herd size (building modification)</v>
      </c>
      <c r="B70" s="1" t="str">
        <f>crop!B70</f>
        <v>A.2.4</v>
      </c>
      <c r="C70" s="18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16"/>
      <c r="O70" s="16"/>
      <c r="P70" s="16"/>
      <c r="Q70" s="16"/>
      <c r="R70" s="21">
        <v>1.3</v>
      </c>
      <c r="S70" s="20"/>
      <c r="T70" s="20"/>
      <c r="U70" s="20"/>
      <c r="V70" s="20"/>
      <c r="W70" s="20"/>
      <c r="X70" s="20"/>
      <c r="Y70" s="21"/>
      <c r="Z70" s="21"/>
      <c r="AA70" s="21"/>
      <c r="AB70" s="21"/>
      <c r="AC70" s="21"/>
      <c r="AD70" s="21"/>
      <c r="AE70" s="21"/>
      <c r="AF70" s="21"/>
      <c r="AG70" s="21"/>
      <c r="AH70" s="20"/>
      <c r="AI70" s="20"/>
      <c r="AJ70" s="20"/>
      <c r="AK70" s="20"/>
      <c r="AL70" s="21"/>
      <c r="AM70" s="21"/>
      <c r="AN70" s="21"/>
      <c r="AO70" s="21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17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20"/>
      <c r="DO70" s="20"/>
      <c r="DP70" s="20"/>
      <c r="DQ70" s="20"/>
      <c r="DR70" s="20"/>
      <c r="DS70" s="20"/>
      <c r="DT70" s="20"/>
      <c r="DU70" s="20"/>
    </row>
    <row r="71" spans="1:125" ht="15" customHeight="1" x14ac:dyDescent="0.2">
      <c r="A71" s="4" t="str">
        <f>crop!A71</f>
        <v>15% decrease of initial herd size</v>
      </c>
      <c r="B71" s="4" t="str">
        <f>crop!B71</f>
        <v>A.2.5</v>
      </c>
      <c r="C71" s="18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16"/>
      <c r="O71" s="16"/>
      <c r="P71" s="16"/>
      <c r="Q71" s="16"/>
      <c r="R71" s="21">
        <v>0.85</v>
      </c>
      <c r="S71" s="20"/>
      <c r="T71" s="20"/>
      <c r="U71" s="20"/>
      <c r="V71" s="20"/>
      <c r="W71" s="20"/>
      <c r="X71" s="20"/>
      <c r="Y71" s="21">
        <v>0.98</v>
      </c>
      <c r="Z71" s="21">
        <v>1.1000000000000001</v>
      </c>
      <c r="AA71" s="21">
        <v>1.1000000000000001</v>
      </c>
      <c r="AB71" s="21">
        <v>1.1000000000000001</v>
      </c>
      <c r="AC71" s="21">
        <v>1.1000000000000001</v>
      </c>
      <c r="AD71" s="21">
        <v>0.97</v>
      </c>
      <c r="AE71" s="21">
        <v>0.97</v>
      </c>
      <c r="AF71" s="21">
        <v>0.97</v>
      </c>
      <c r="AG71" s="21">
        <v>0.97</v>
      </c>
      <c r="AH71" s="20"/>
      <c r="AI71" s="20"/>
      <c r="AJ71" s="20"/>
      <c r="AK71" s="20"/>
      <c r="AL71" s="21">
        <v>0.95</v>
      </c>
      <c r="AM71" s="21">
        <v>0.97</v>
      </c>
      <c r="AN71" s="21">
        <v>0.97</v>
      </c>
      <c r="AO71" s="21">
        <v>0.97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17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20"/>
      <c r="DO71" s="20"/>
      <c r="DP71" s="20"/>
      <c r="DQ71" s="20"/>
      <c r="DR71" s="20"/>
      <c r="DS71" s="20"/>
      <c r="DT71" s="20"/>
      <c r="DU71" s="20"/>
    </row>
    <row r="72" spans="1:125" ht="15" customHeight="1" x14ac:dyDescent="0.2">
      <c r="A72" s="6" t="str">
        <f>crop!A72</f>
        <v>30% decrease of initial herd size</v>
      </c>
      <c r="B72" s="6" t="str">
        <f>crop!B72</f>
        <v>A.2.6</v>
      </c>
      <c r="C72" s="18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16"/>
      <c r="O72" s="16"/>
      <c r="P72" s="16"/>
      <c r="Q72" s="16"/>
      <c r="R72" s="21">
        <v>0.7</v>
      </c>
      <c r="S72" s="20"/>
      <c r="T72" s="20"/>
      <c r="U72" s="20"/>
      <c r="V72" s="20"/>
      <c r="W72" s="20"/>
      <c r="X72" s="20"/>
      <c r="Y72" s="21">
        <v>0.98</v>
      </c>
      <c r="Z72" s="21">
        <v>1.1000000000000001</v>
      </c>
      <c r="AA72" s="21">
        <v>1.1000000000000001</v>
      </c>
      <c r="AB72" s="21">
        <v>1.1000000000000001</v>
      </c>
      <c r="AC72" s="21">
        <v>1.1000000000000001</v>
      </c>
      <c r="AD72" s="21">
        <v>0.97</v>
      </c>
      <c r="AE72" s="21">
        <v>0.97</v>
      </c>
      <c r="AF72" s="21">
        <v>0.97</v>
      </c>
      <c r="AG72" s="21">
        <v>0.97</v>
      </c>
      <c r="AH72" s="20"/>
      <c r="AI72" s="20"/>
      <c r="AJ72" s="20"/>
      <c r="AK72" s="20"/>
      <c r="AL72" s="21">
        <v>0.95</v>
      </c>
      <c r="AM72" s="21">
        <v>0.97</v>
      </c>
      <c r="AN72" s="21">
        <v>0.97</v>
      </c>
      <c r="AO72" s="21">
        <v>0.97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17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20"/>
      <c r="DO72" s="20"/>
      <c r="DP72" s="20"/>
      <c r="DQ72" s="20"/>
      <c r="DR72" s="20"/>
      <c r="DS72" s="20"/>
      <c r="DT72" s="20"/>
      <c r="DU72" s="20"/>
    </row>
    <row r="73" spans="1:125" ht="15" customHeight="1" x14ac:dyDescent="0.2">
      <c r="A73" s="1" t="str">
        <f>crop!A73</f>
        <v>Bulls fattened up to 18 months</v>
      </c>
      <c r="B73" s="1" t="str">
        <f>crop!B73</f>
        <v>A.3.1</v>
      </c>
      <c r="C73" s="18"/>
      <c r="D73" s="16"/>
      <c r="E73" s="16"/>
      <c r="F73" s="16"/>
      <c r="G73" s="16"/>
      <c r="H73" s="16"/>
      <c r="I73" s="16"/>
      <c r="J73" s="16">
        <v>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>
        <v>0</v>
      </c>
      <c r="AD73" s="16"/>
      <c r="AE73" s="16"/>
      <c r="AF73" s="16"/>
      <c r="AG73" s="16">
        <v>0</v>
      </c>
      <c r="AH73" s="16"/>
      <c r="AI73" s="16"/>
      <c r="AJ73" s="16"/>
      <c r="AK73" s="16">
        <v>0</v>
      </c>
      <c r="AL73" s="16"/>
      <c r="AM73" s="16"/>
      <c r="AN73" s="16"/>
      <c r="AO73" s="16">
        <v>0</v>
      </c>
      <c r="AP73" s="16"/>
      <c r="AQ73" s="16"/>
      <c r="AR73" s="16"/>
      <c r="AS73" s="16"/>
      <c r="AT73" s="16"/>
      <c r="AU73" s="16"/>
      <c r="AV73" s="16"/>
      <c r="AW73" s="20"/>
      <c r="AX73" s="20"/>
      <c r="AY73" s="16"/>
      <c r="AZ73" s="16">
        <v>0</v>
      </c>
      <c r="BA73" s="20"/>
      <c r="BB73" s="20"/>
      <c r="BC73" s="16"/>
      <c r="BD73" s="16">
        <v>0</v>
      </c>
      <c r="BE73" s="20"/>
      <c r="BF73" s="20"/>
      <c r="BG73" s="16"/>
      <c r="BH73" s="16">
        <v>0</v>
      </c>
      <c r="BI73" s="17"/>
      <c r="BJ73" s="16"/>
      <c r="BK73" s="16"/>
      <c r="BL73" s="16">
        <v>3</v>
      </c>
      <c r="BM73" s="16">
        <v>0</v>
      </c>
      <c r="BN73" s="16"/>
      <c r="BO73" s="16"/>
      <c r="BP73" s="16">
        <v>0</v>
      </c>
      <c r="BQ73" s="16">
        <v>0</v>
      </c>
      <c r="BR73" s="16"/>
      <c r="BS73" s="16"/>
      <c r="BT73" s="16">
        <v>0</v>
      </c>
      <c r="BU73" s="16">
        <v>0</v>
      </c>
      <c r="BV73" s="16"/>
      <c r="BW73" s="16"/>
      <c r="BX73" s="16">
        <v>0</v>
      </c>
      <c r="BY73" s="16">
        <v>0</v>
      </c>
      <c r="BZ73" s="16"/>
      <c r="CA73" s="16"/>
      <c r="CB73" s="16">
        <v>0.1</v>
      </c>
      <c r="CC73" s="16">
        <v>0</v>
      </c>
      <c r="CD73" s="16"/>
      <c r="CE73" s="16"/>
      <c r="CF73" s="16">
        <v>0</v>
      </c>
      <c r="CG73" s="16">
        <v>0</v>
      </c>
      <c r="CH73" s="16"/>
      <c r="CI73" s="16"/>
      <c r="CJ73" s="16">
        <v>0</v>
      </c>
      <c r="CK73" s="16">
        <v>0</v>
      </c>
      <c r="CL73" s="16"/>
      <c r="CM73" s="16"/>
      <c r="CN73" s="16">
        <v>0</v>
      </c>
      <c r="CO73" s="16">
        <v>0</v>
      </c>
      <c r="CP73" s="16"/>
      <c r="CQ73" s="16"/>
      <c r="CR73" s="16">
        <v>0.42</v>
      </c>
      <c r="CS73" s="16">
        <v>0</v>
      </c>
      <c r="CT73" s="16"/>
      <c r="CU73" s="16"/>
      <c r="CV73" s="16">
        <v>0</v>
      </c>
      <c r="CW73" s="16">
        <v>0</v>
      </c>
      <c r="CX73" s="16"/>
      <c r="CY73" s="16"/>
      <c r="CZ73" s="16">
        <v>0.4</v>
      </c>
      <c r="DA73" s="16">
        <v>0</v>
      </c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>
        <v>0</v>
      </c>
      <c r="DM73" s="16">
        <v>0</v>
      </c>
      <c r="DN73" s="20"/>
      <c r="DO73" s="20"/>
      <c r="DP73" s="16"/>
      <c r="DQ73" s="16">
        <v>0</v>
      </c>
      <c r="DR73" s="20"/>
      <c r="DS73" s="20"/>
      <c r="DT73" s="16"/>
      <c r="DU73" s="16">
        <v>0</v>
      </c>
    </row>
    <row r="74" spans="1:125" ht="15" customHeight="1" x14ac:dyDescent="0.2">
      <c r="A74" s="1" t="str">
        <f>crop!A74</f>
        <v>Castrated males fattened up to 36 months (steer)</v>
      </c>
      <c r="B74" s="1" t="str">
        <f>crop!B74</f>
        <v>A.3.2</v>
      </c>
      <c r="C74" s="18"/>
      <c r="D74" s="16"/>
      <c r="E74" s="16"/>
      <c r="F74" s="16">
        <v>2.5</v>
      </c>
      <c r="G74" s="16"/>
      <c r="H74" s="16"/>
      <c r="I74" s="16"/>
      <c r="J74" s="16">
        <v>0</v>
      </c>
      <c r="K74" s="16"/>
      <c r="L74" s="16"/>
      <c r="M74" s="16"/>
      <c r="N74" s="16"/>
      <c r="O74" s="16"/>
      <c r="P74" s="16"/>
      <c r="Q74" s="16"/>
      <c r="R74" s="16"/>
      <c r="S74" s="16"/>
      <c r="T74" s="16">
        <v>1.07</v>
      </c>
      <c r="U74" s="16"/>
      <c r="V74" s="16"/>
      <c r="W74" s="16"/>
      <c r="X74" s="16"/>
      <c r="Y74" s="16"/>
      <c r="Z74" s="16"/>
      <c r="AA74" s="16"/>
      <c r="AB74" s="16">
        <v>0</v>
      </c>
      <c r="AC74" s="16"/>
      <c r="AD74" s="16"/>
      <c r="AE74" s="16"/>
      <c r="AF74" s="16">
        <v>0</v>
      </c>
      <c r="AG74" s="16"/>
      <c r="AH74" s="16"/>
      <c r="AI74" s="16"/>
      <c r="AJ74" s="16">
        <v>0</v>
      </c>
      <c r="AK74" s="16"/>
      <c r="AL74" s="16"/>
      <c r="AM74" s="16"/>
      <c r="AN74" s="16">
        <v>0</v>
      </c>
      <c r="AO74" s="16"/>
      <c r="AP74" s="16"/>
      <c r="AQ74" s="16"/>
      <c r="AR74" s="16"/>
      <c r="AS74" s="16"/>
      <c r="AT74" s="16"/>
      <c r="AU74" s="16"/>
      <c r="AV74" s="16"/>
      <c r="AW74" s="20"/>
      <c r="AX74" s="20"/>
      <c r="AY74" s="16">
        <v>0</v>
      </c>
      <c r="AZ74" s="16">
        <v>0.5</v>
      </c>
      <c r="BA74" s="20"/>
      <c r="BB74" s="20"/>
      <c r="BC74" s="16">
        <v>0</v>
      </c>
      <c r="BD74" s="16"/>
      <c r="BE74" s="20"/>
      <c r="BF74" s="20"/>
      <c r="BG74" s="16">
        <v>0</v>
      </c>
      <c r="BH74" s="16"/>
      <c r="BI74" s="17"/>
      <c r="BJ74" s="16"/>
      <c r="BK74" s="16"/>
      <c r="BL74" s="16">
        <v>0</v>
      </c>
      <c r="BM74" s="16">
        <v>0</v>
      </c>
      <c r="BN74" s="16"/>
      <c r="BO74" s="16"/>
      <c r="BP74" s="16">
        <v>0</v>
      </c>
      <c r="BQ74" s="16">
        <v>0</v>
      </c>
      <c r="BR74" s="16"/>
      <c r="BS74" s="16"/>
      <c r="BT74" s="16">
        <v>0</v>
      </c>
      <c r="BU74" s="16">
        <v>0</v>
      </c>
      <c r="BV74" s="16"/>
      <c r="BW74" s="16"/>
      <c r="BX74" s="16">
        <v>0</v>
      </c>
      <c r="BY74" s="16">
        <v>0</v>
      </c>
      <c r="BZ74" s="16"/>
      <c r="CA74" s="16"/>
      <c r="CB74" s="16">
        <v>0</v>
      </c>
      <c r="CC74" s="16">
        <v>2.5</v>
      </c>
      <c r="CD74" s="16"/>
      <c r="CE74" s="16"/>
      <c r="CF74" s="16">
        <v>0</v>
      </c>
      <c r="CG74" s="16">
        <v>3.4</v>
      </c>
      <c r="CH74" s="16"/>
      <c r="CI74" s="16"/>
      <c r="CJ74" s="16">
        <v>0</v>
      </c>
      <c r="CK74" s="16">
        <v>0</v>
      </c>
      <c r="CL74" s="16"/>
      <c r="CM74" s="16"/>
      <c r="CN74" s="16">
        <v>0</v>
      </c>
      <c r="CO74" s="16">
        <v>0</v>
      </c>
      <c r="CP74" s="16"/>
      <c r="CQ74" s="16"/>
      <c r="CR74" s="16">
        <v>0</v>
      </c>
      <c r="CS74" s="16">
        <v>0.06</v>
      </c>
      <c r="CT74" s="16"/>
      <c r="CU74" s="16"/>
      <c r="CV74" s="16">
        <v>0</v>
      </c>
      <c r="CW74" s="16">
        <v>0</v>
      </c>
      <c r="CX74" s="16"/>
      <c r="CY74" s="16"/>
      <c r="CZ74" s="16">
        <v>0</v>
      </c>
      <c r="DA74" s="16">
        <v>0.3</v>
      </c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>
        <v>0</v>
      </c>
      <c r="DM74" s="16">
        <v>0</v>
      </c>
      <c r="DN74" s="20"/>
      <c r="DO74" s="20"/>
      <c r="DP74" s="16">
        <v>0</v>
      </c>
      <c r="DQ74" s="16"/>
      <c r="DR74" s="20"/>
      <c r="DS74" s="20"/>
      <c r="DT74" s="16">
        <v>0</v>
      </c>
      <c r="DU74" s="16"/>
    </row>
    <row r="75" spans="1:125" ht="15" customHeight="1" x14ac:dyDescent="0.2">
      <c r="A75" s="6" t="str">
        <f>crop!A75</f>
        <v>Male calves sold at 8 days</v>
      </c>
      <c r="B75" s="6" t="str">
        <f>crop!B75</f>
        <v>A.3.3</v>
      </c>
      <c r="C75" s="18"/>
      <c r="D75" s="16"/>
      <c r="E75" s="16"/>
      <c r="F75" s="16">
        <v>0</v>
      </c>
      <c r="G75" s="16"/>
      <c r="H75" s="16"/>
      <c r="I75" s="16">
        <v>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>
        <v>0</v>
      </c>
      <c r="U75" s="16"/>
      <c r="V75" s="16"/>
      <c r="W75" s="16"/>
      <c r="X75" s="16"/>
      <c r="Y75" s="16"/>
      <c r="Z75" s="16"/>
      <c r="AA75" s="16"/>
      <c r="AB75" s="16">
        <v>0</v>
      </c>
      <c r="AC75" s="16">
        <v>0</v>
      </c>
      <c r="AD75" s="16"/>
      <c r="AE75" s="16"/>
      <c r="AF75" s="16">
        <v>0</v>
      </c>
      <c r="AG75" s="16">
        <v>0</v>
      </c>
      <c r="AH75" s="16"/>
      <c r="AI75" s="16"/>
      <c r="AJ75" s="16">
        <v>0</v>
      </c>
      <c r="AK75" s="16">
        <v>0</v>
      </c>
      <c r="AL75" s="16"/>
      <c r="AM75" s="16"/>
      <c r="AN75" s="16">
        <v>0</v>
      </c>
      <c r="AO75" s="16">
        <v>0</v>
      </c>
      <c r="AP75" s="16"/>
      <c r="AQ75" s="16"/>
      <c r="AR75" s="16"/>
      <c r="AS75" s="16"/>
      <c r="AT75" s="16">
        <v>0</v>
      </c>
      <c r="AU75" s="16">
        <v>0</v>
      </c>
      <c r="AV75" s="16"/>
      <c r="AW75" s="20"/>
      <c r="AX75" s="20"/>
      <c r="AY75" s="16">
        <v>0</v>
      </c>
      <c r="AZ75" s="16">
        <v>0</v>
      </c>
      <c r="BA75" s="20"/>
      <c r="BB75" s="20"/>
      <c r="BC75" s="16">
        <v>0</v>
      </c>
      <c r="BD75" s="16">
        <v>0</v>
      </c>
      <c r="BE75" s="20"/>
      <c r="BF75" s="20"/>
      <c r="BG75" s="16">
        <v>0</v>
      </c>
      <c r="BH75" s="16">
        <v>0</v>
      </c>
      <c r="BI75" s="17"/>
      <c r="BJ75" s="16"/>
      <c r="BK75" s="16"/>
      <c r="BL75" s="16">
        <v>0</v>
      </c>
      <c r="BM75" s="16">
        <v>0</v>
      </c>
      <c r="BN75" s="16"/>
      <c r="BO75" s="16"/>
      <c r="BP75" s="16">
        <v>0</v>
      </c>
      <c r="BQ75" s="16">
        <v>0</v>
      </c>
      <c r="BR75" s="16"/>
      <c r="BS75" s="16"/>
      <c r="BT75" s="16">
        <v>0</v>
      </c>
      <c r="BU75" s="16">
        <v>0</v>
      </c>
      <c r="BV75" s="16"/>
      <c r="BW75" s="16"/>
      <c r="BX75" s="16">
        <v>0</v>
      </c>
      <c r="BY75" s="16">
        <v>0</v>
      </c>
      <c r="BZ75" s="16"/>
      <c r="CA75" s="16"/>
      <c r="CB75" s="16">
        <v>0</v>
      </c>
      <c r="CC75" s="16">
        <v>0</v>
      </c>
      <c r="CD75" s="16"/>
      <c r="CE75" s="16"/>
      <c r="CF75" s="16">
        <v>0</v>
      </c>
      <c r="CG75" s="16">
        <v>0</v>
      </c>
      <c r="CH75" s="16"/>
      <c r="CI75" s="16"/>
      <c r="CJ75" s="16">
        <v>0</v>
      </c>
      <c r="CK75" s="16">
        <v>0</v>
      </c>
      <c r="CL75" s="16"/>
      <c r="CM75" s="16"/>
      <c r="CN75" s="16">
        <v>0</v>
      </c>
      <c r="CO75" s="16">
        <v>0</v>
      </c>
      <c r="CP75" s="16"/>
      <c r="CQ75" s="16"/>
      <c r="CR75" s="16">
        <v>0</v>
      </c>
      <c r="CS75" s="16">
        <v>0</v>
      </c>
      <c r="CT75" s="16"/>
      <c r="CU75" s="16"/>
      <c r="CV75" s="16">
        <v>0</v>
      </c>
      <c r="CW75" s="16">
        <v>0</v>
      </c>
      <c r="CX75" s="16"/>
      <c r="CY75" s="16"/>
      <c r="CZ75" s="16">
        <v>0</v>
      </c>
      <c r="DA75" s="16">
        <v>0</v>
      </c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>
        <v>0</v>
      </c>
      <c r="DM75" s="16">
        <v>0</v>
      </c>
      <c r="DN75" s="20"/>
      <c r="DO75" s="20"/>
      <c r="DP75" s="16">
        <v>0</v>
      </c>
      <c r="DQ75" s="16">
        <v>0</v>
      </c>
      <c r="DR75" s="20"/>
      <c r="DS75" s="20"/>
      <c r="DT75" s="16">
        <v>0</v>
      </c>
      <c r="DU75" s="16">
        <v>0</v>
      </c>
    </row>
    <row r="76" spans="1:125" ht="15" customHeight="1" x14ac:dyDescent="0.2">
      <c r="A76" s="1" t="str">
        <f>crop!A76</f>
        <v>Cows are tied on straw bedding</v>
      </c>
      <c r="B76" s="1" t="str">
        <f>crop!B76</f>
        <v>A.4.1</v>
      </c>
      <c r="C76" s="18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>
        <v>14</v>
      </c>
      <c r="AW76" s="16"/>
      <c r="AX76" s="16"/>
      <c r="AY76" s="16"/>
      <c r="AZ76" s="16"/>
      <c r="BA76" s="16"/>
      <c r="BB76" s="16"/>
      <c r="BC76" s="16"/>
      <c r="BD76" s="16"/>
      <c r="BE76" s="16">
        <v>0</v>
      </c>
      <c r="BF76" s="16"/>
      <c r="BG76" s="16"/>
      <c r="BH76" s="16"/>
      <c r="BI76" s="17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>
        <v>0</v>
      </c>
      <c r="DS76" s="16"/>
      <c r="DT76" s="16"/>
      <c r="DU76" s="16"/>
    </row>
    <row r="77" spans="1:125" ht="15" customHeight="1" x14ac:dyDescent="0.2">
      <c r="A77" s="1" t="str">
        <f>crop!A77</f>
        <v>Housing of cows is cubicles with straw (shallow bedding)</v>
      </c>
      <c r="B77" s="1" t="str">
        <f>crop!B77</f>
        <v>A.4.2</v>
      </c>
      <c r="C77" s="18"/>
      <c r="D77" s="16"/>
      <c r="E77" s="16"/>
      <c r="F77" s="16"/>
      <c r="G77" s="16"/>
      <c r="H77" s="16"/>
      <c r="I77" s="16"/>
      <c r="J77" s="16"/>
      <c r="K77" s="16"/>
      <c r="L77" s="16"/>
      <c r="M77" s="16">
        <v>0.98</v>
      </c>
      <c r="N77" s="16"/>
      <c r="O77" s="16">
        <v>1.02</v>
      </c>
      <c r="P77" s="16">
        <v>0.97</v>
      </c>
      <c r="Q77" s="16">
        <v>0.98</v>
      </c>
      <c r="R77" s="16"/>
      <c r="S77" s="16"/>
      <c r="T77" s="16"/>
      <c r="U77" s="16"/>
      <c r="V77" s="16">
        <v>1.01</v>
      </c>
      <c r="W77" s="16"/>
      <c r="X77" s="16"/>
      <c r="Y77" s="16">
        <v>0.98</v>
      </c>
      <c r="Z77" s="16">
        <v>1.5</v>
      </c>
      <c r="AA77" s="16"/>
      <c r="AB77" s="16"/>
      <c r="AC77" s="16"/>
      <c r="AD77" s="16">
        <v>0.98</v>
      </c>
      <c r="AE77" s="16"/>
      <c r="AF77" s="16"/>
      <c r="AG77" s="16"/>
      <c r="AH77" s="16"/>
      <c r="AI77" s="16"/>
      <c r="AJ77" s="16"/>
      <c r="AK77" s="16"/>
      <c r="AL77" s="16">
        <v>0.67</v>
      </c>
      <c r="AM77" s="16"/>
      <c r="AN77" s="16"/>
      <c r="AO77" s="16"/>
      <c r="AP77" s="16">
        <v>0.9</v>
      </c>
      <c r="AQ77" s="16">
        <v>1.05</v>
      </c>
      <c r="AR77" s="16"/>
      <c r="AS77" s="16"/>
      <c r="AT77" s="16"/>
      <c r="AU77" s="16"/>
      <c r="AV77" s="16">
        <v>17</v>
      </c>
      <c r="AW77" s="16"/>
      <c r="AX77" s="16"/>
      <c r="AY77" s="16"/>
      <c r="AZ77" s="16"/>
      <c r="BA77" s="16"/>
      <c r="BB77" s="16"/>
      <c r="BC77" s="16"/>
      <c r="BD77" s="16"/>
      <c r="BE77" s="16">
        <v>0</v>
      </c>
      <c r="BF77" s="16"/>
      <c r="BG77" s="16"/>
      <c r="BH77" s="16"/>
      <c r="BI77" s="17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>
        <v>0</v>
      </c>
      <c r="DS77" s="16"/>
      <c r="DT77" s="16"/>
      <c r="DU77" s="16"/>
    </row>
    <row r="78" spans="1:125" ht="15" customHeight="1" x14ac:dyDescent="0.2">
      <c r="A78" s="1" t="str">
        <f>crop!A78</f>
        <v>Housing of cows is cubicles with slatted floor</v>
      </c>
      <c r="B78" s="1" t="str">
        <f>crop!B78</f>
        <v>A.4.3</v>
      </c>
      <c r="C78" s="18"/>
      <c r="D78" s="16"/>
      <c r="E78" s="16"/>
      <c r="F78" s="16"/>
      <c r="G78" s="16"/>
      <c r="H78" s="16"/>
      <c r="I78" s="16"/>
      <c r="J78" s="16"/>
      <c r="K78" s="16"/>
      <c r="L78" s="16"/>
      <c r="M78" s="16">
        <v>1.03</v>
      </c>
      <c r="N78" s="16"/>
      <c r="O78" s="16">
        <v>0.97</v>
      </c>
      <c r="P78" s="16">
        <v>1.05</v>
      </c>
      <c r="Q78" s="16">
        <v>1.03</v>
      </c>
      <c r="R78" s="16"/>
      <c r="S78" s="16"/>
      <c r="T78" s="16"/>
      <c r="U78" s="16"/>
      <c r="V78" s="16"/>
      <c r="W78" s="16"/>
      <c r="X78" s="16"/>
      <c r="Y78" s="16">
        <v>1.03</v>
      </c>
      <c r="Z78" s="16">
        <v>1.1299999999999999</v>
      </c>
      <c r="AA78" s="16"/>
      <c r="AB78" s="16"/>
      <c r="AC78" s="16"/>
      <c r="AD78" s="16">
        <v>1.03</v>
      </c>
      <c r="AE78" s="16"/>
      <c r="AF78" s="16"/>
      <c r="AG78" s="16"/>
      <c r="AH78" s="16"/>
      <c r="AI78" s="16"/>
      <c r="AJ78" s="16"/>
      <c r="AK78" s="16"/>
      <c r="AL78" s="16">
        <v>0.67</v>
      </c>
      <c r="AM78" s="16"/>
      <c r="AN78" s="16"/>
      <c r="AO78" s="16"/>
      <c r="AP78" s="16">
        <v>0.9</v>
      </c>
      <c r="AQ78" s="16">
        <v>1.05</v>
      </c>
      <c r="AR78" s="16"/>
      <c r="AS78" s="16"/>
      <c r="AT78" s="16"/>
      <c r="AU78" s="16"/>
      <c r="AV78" s="16">
        <v>17</v>
      </c>
      <c r="AW78" s="16">
        <v>0</v>
      </c>
      <c r="AX78" s="16"/>
      <c r="AY78" s="16"/>
      <c r="AZ78" s="16"/>
      <c r="BA78" s="16">
        <v>0</v>
      </c>
      <c r="BB78" s="16"/>
      <c r="BC78" s="16"/>
      <c r="BD78" s="16"/>
      <c r="BE78" s="16"/>
      <c r="BF78" s="16"/>
      <c r="BG78" s="16"/>
      <c r="BH78" s="16"/>
      <c r="BI78" s="17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>
        <v>0</v>
      </c>
      <c r="DO78" s="16"/>
      <c r="DP78" s="16"/>
      <c r="DQ78" s="16"/>
      <c r="DR78" s="16"/>
      <c r="DS78" s="16"/>
      <c r="DT78" s="16"/>
      <c r="DU78" s="16"/>
    </row>
    <row r="79" spans="1:125" ht="15" customHeight="1" x14ac:dyDescent="0.2">
      <c r="A79" s="1" t="str">
        <f>crop!A79</f>
        <v>Housing of cows is free-stall (deep bedding)</v>
      </c>
      <c r="B79" s="1" t="str">
        <f>crop!B79</f>
        <v>A.4.4</v>
      </c>
      <c r="C79" s="18"/>
      <c r="D79" s="16"/>
      <c r="E79" s="16"/>
      <c r="F79" s="16"/>
      <c r="G79" s="16"/>
      <c r="H79" s="16"/>
      <c r="I79" s="16"/>
      <c r="J79" s="16"/>
      <c r="K79" s="16"/>
      <c r="L79" s="16"/>
      <c r="M79" s="16">
        <v>0.98</v>
      </c>
      <c r="N79" s="16"/>
      <c r="O79" s="16">
        <v>1.03</v>
      </c>
      <c r="P79" s="16">
        <v>0.95</v>
      </c>
      <c r="Q79" s="16">
        <v>0.97</v>
      </c>
      <c r="R79" s="16"/>
      <c r="S79" s="16"/>
      <c r="T79" s="16"/>
      <c r="U79" s="16"/>
      <c r="V79" s="16">
        <v>1.03</v>
      </c>
      <c r="W79" s="16"/>
      <c r="X79" s="16"/>
      <c r="Y79" s="16">
        <v>1.02</v>
      </c>
      <c r="Z79" s="16">
        <v>1.65</v>
      </c>
      <c r="AA79" s="16"/>
      <c r="AB79" s="16"/>
      <c r="AC79" s="16"/>
      <c r="AD79" s="16">
        <v>1.02</v>
      </c>
      <c r="AE79" s="16"/>
      <c r="AF79" s="16"/>
      <c r="AG79" s="16"/>
      <c r="AH79" s="16"/>
      <c r="AI79" s="16"/>
      <c r="AJ79" s="16"/>
      <c r="AK79" s="16"/>
      <c r="AL79" s="16">
        <v>0.6</v>
      </c>
      <c r="AM79" s="16"/>
      <c r="AN79" s="16"/>
      <c r="AO79" s="16"/>
      <c r="AP79" s="16">
        <v>0.81</v>
      </c>
      <c r="AQ79" s="16">
        <v>1.05</v>
      </c>
      <c r="AR79" s="16"/>
      <c r="AS79" s="16"/>
      <c r="AT79" s="16"/>
      <c r="AU79" s="16"/>
      <c r="AV79" s="16">
        <v>17</v>
      </c>
      <c r="AW79" s="16">
        <v>1.6</v>
      </c>
      <c r="AX79" s="16"/>
      <c r="AY79" s="16"/>
      <c r="AZ79" s="16"/>
      <c r="BA79" s="16">
        <v>1.1000000000000001</v>
      </c>
      <c r="BB79" s="16"/>
      <c r="BC79" s="16"/>
      <c r="BD79" s="16"/>
      <c r="BE79" s="16">
        <v>0</v>
      </c>
      <c r="BF79" s="16"/>
      <c r="BG79" s="16"/>
      <c r="BH79" s="16"/>
      <c r="BI79" s="17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>
        <v>1.1000000000000001</v>
      </c>
      <c r="DO79" s="16"/>
      <c r="DP79" s="16"/>
      <c r="DQ79" s="16"/>
      <c r="DR79" s="16">
        <v>0</v>
      </c>
      <c r="DS79" s="16"/>
      <c r="DT79" s="16"/>
      <c r="DU79" s="16"/>
    </row>
    <row r="80" spans="1:125" ht="15" customHeight="1" x14ac:dyDescent="0.2">
      <c r="A80" s="6" t="str">
        <f>crop!A80</f>
        <v>Housing of cows is free-stall slatted floor</v>
      </c>
      <c r="B80" s="6" t="str">
        <f>crop!B80</f>
        <v>A.4.5</v>
      </c>
      <c r="C80" s="18"/>
      <c r="D80" s="16"/>
      <c r="E80" s="16"/>
      <c r="F80" s="16"/>
      <c r="G80" s="16"/>
      <c r="H80" s="16"/>
      <c r="I80" s="16"/>
      <c r="J80" s="16"/>
      <c r="K80" s="16"/>
      <c r="L80" s="16"/>
      <c r="M80" s="16">
        <v>1.03</v>
      </c>
      <c r="N80" s="16"/>
      <c r="O80" s="16">
        <v>0.97</v>
      </c>
      <c r="P80" s="16">
        <v>1.03</v>
      </c>
      <c r="Q80" s="16">
        <v>1.02</v>
      </c>
      <c r="R80" s="16"/>
      <c r="S80" s="16"/>
      <c r="T80" s="16"/>
      <c r="U80" s="16"/>
      <c r="V80" s="16">
        <v>0.98</v>
      </c>
      <c r="W80" s="16"/>
      <c r="X80" s="16"/>
      <c r="Y80" s="16">
        <v>1.03</v>
      </c>
      <c r="Z80" s="16">
        <v>1.2</v>
      </c>
      <c r="AA80" s="16"/>
      <c r="AB80" s="16"/>
      <c r="AC80" s="16"/>
      <c r="AD80" s="16">
        <v>1.03</v>
      </c>
      <c r="AE80" s="16"/>
      <c r="AF80" s="16"/>
      <c r="AG80" s="16"/>
      <c r="AH80" s="16"/>
      <c r="AI80" s="16"/>
      <c r="AJ80" s="16"/>
      <c r="AK80" s="16"/>
      <c r="AL80" s="16">
        <v>0.6</v>
      </c>
      <c r="AM80" s="16"/>
      <c r="AN80" s="16"/>
      <c r="AO80" s="16"/>
      <c r="AP80" s="16">
        <v>0.91</v>
      </c>
      <c r="AQ80" s="16">
        <v>1.05</v>
      </c>
      <c r="AR80" s="16"/>
      <c r="AS80" s="16"/>
      <c r="AT80" s="16"/>
      <c r="AU80" s="16"/>
      <c r="AV80" s="16">
        <v>17</v>
      </c>
      <c r="AW80" s="16">
        <v>0</v>
      </c>
      <c r="AX80" s="16"/>
      <c r="AY80" s="16"/>
      <c r="AZ80" s="16"/>
      <c r="BA80" s="16">
        <v>0</v>
      </c>
      <c r="BB80" s="16"/>
      <c r="BC80" s="16"/>
      <c r="BD80" s="16"/>
      <c r="BE80" s="16"/>
      <c r="BF80" s="16"/>
      <c r="BG80" s="16"/>
      <c r="BH80" s="16"/>
      <c r="BI80" s="17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>
        <v>0</v>
      </c>
      <c r="DO80" s="16"/>
      <c r="DP80" s="16"/>
      <c r="DQ80" s="16"/>
      <c r="DR80" s="16"/>
      <c r="DS80" s="16"/>
      <c r="DT80" s="16"/>
      <c r="DU80" s="16"/>
    </row>
    <row r="81" spans="1:125" ht="15" customHeight="1" x14ac:dyDescent="0.2">
      <c r="A81" s="1" t="str">
        <f>crop!A81</f>
        <v>Housing of heifer, bulls and steers is slatted floor</v>
      </c>
      <c r="B81" s="1" t="str">
        <f>crop!B81</f>
        <v>A.5.1</v>
      </c>
      <c r="C81" s="18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>
        <v>0.97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>
        <v>0</v>
      </c>
      <c r="AY81" s="16">
        <v>0</v>
      </c>
      <c r="AZ81" s="16">
        <v>0</v>
      </c>
      <c r="BA81" s="16"/>
      <c r="BB81" s="16">
        <v>0</v>
      </c>
      <c r="BC81" s="16">
        <v>0</v>
      </c>
      <c r="BD81" s="16">
        <v>0</v>
      </c>
      <c r="BE81" s="16"/>
      <c r="BF81" s="16"/>
      <c r="BG81" s="16"/>
      <c r="BH81" s="16"/>
      <c r="BI81" s="17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>
        <v>0</v>
      </c>
      <c r="DP81" s="16">
        <v>0</v>
      </c>
      <c r="DQ81" s="16">
        <v>0</v>
      </c>
      <c r="DR81" s="16"/>
      <c r="DS81" s="16"/>
      <c r="DT81" s="16"/>
      <c r="DU81" s="16"/>
    </row>
    <row r="82" spans="1:125" ht="15" customHeight="1" x14ac:dyDescent="0.2">
      <c r="A82" s="1" t="str">
        <f>crop!A82</f>
        <v>Housing of heifer, bulls and steers is shallow bedding</v>
      </c>
      <c r="B82" s="1" t="str">
        <f>crop!B82</f>
        <v>A.5.2</v>
      </c>
      <c r="C82" s="18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>
        <v>1.03</v>
      </c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>
        <v>1.61</v>
      </c>
      <c r="AB82" s="16">
        <v>1.61</v>
      </c>
      <c r="AC82" s="16">
        <v>1.61</v>
      </c>
      <c r="AD82" s="16"/>
      <c r="AE82" s="16"/>
      <c r="AF82" s="16"/>
      <c r="AG82" s="16"/>
      <c r="AH82" s="16"/>
      <c r="AI82" s="16"/>
      <c r="AJ82" s="16"/>
      <c r="AK82" s="16"/>
      <c r="AL82" s="16"/>
      <c r="AM82" s="16">
        <v>0.8</v>
      </c>
      <c r="AN82" s="16">
        <v>0.8</v>
      </c>
      <c r="AO82" s="16">
        <v>0.8</v>
      </c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>
        <v>0</v>
      </c>
      <c r="BG82" s="16">
        <v>0</v>
      </c>
      <c r="BH82" s="16">
        <v>0</v>
      </c>
      <c r="BI82" s="17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>
        <v>0</v>
      </c>
      <c r="DT82" s="16">
        <v>0</v>
      </c>
      <c r="DU82" s="16">
        <v>0</v>
      </c>
    </row>
    <row r="83" spans="1:125" ht="15" customHeight="1" x14ac:dyDescent="0.2">
      <c r="A83" s="6" t="str">
        <f>crop!A83</f>
        <v>Housing of heifer, bulls and steers is deep bedding</v>
      </c>
      <c r="B83" s="6" t="str">
        <f>crop!B83</f>
        <v>A.5.3</v>
      </c>
      <c r="C83" s="18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>
        <v>2.0099999999999998</v>
      </c>
      <c r="AB83" s="16">
        <v>2.0099999999999998</v>
      </c>
      <c r="AC83" s="16">
        <v>2.0099999999999998</v>
      </c>
      <c r="AD83" s="16"/>
      <c r="AE83" s="16"/>
      <c r="AF83" s="16"/>
      <c r="AG83" s="16"/>
      <c r="AH83" s="16"/>
      <c r="AI83" s="16"/>
      <c r="AJ83" s="16"/>
      <c r="AK83" s="16"/>
      <c r="AL83" s="16"/>
      <c r="AM83" s="16">
        <v>0.5</v>
      </c>
      <c r="AN83" s="16">
        <v>0.5</v>
      </c>
      <c r="AO83" s="16">
        <v>0.5</v>
      </c>
      <c r="AP83" s="16"/>
      <c r="AQ83" s="16"/>
      <c r="AR83" s="16"/>
      <c r="AS83" s="16"/>
      <c r="AT83" s="16"/>
      <c r="AU83" s="16"/>
      <c r="AV83" s="16"/>
      <c r="AW83" s="16"/>
      <c r="AX83" s="16">
        <v>1.6</v>
      </c>
      <c r="AY83" s="16">
        <v>1.6</v>
      </c>
      <c r="AZ83" s="16">
        <v>1.6</v>
      </c>
      <c r="BA83" s="16"/>
      <c r="BB83" s="16">
        <v>1.1000000000000001</v>
      </c>
      <c r="BC83" s="16">
        <v>1.1000000000000001</v>
      </c>
      <c r="BD83" s="16">
        <v>1.1000000000000001</v>
      </c>
      <c r="BE83" s="16"/>
      <c r="BF83" s="16">
        <v>0</v>
      </c>
      <c r="BG83" s="16">
        <v>0</v>
      </c>
      <c r="BH83" s="16">
        <v>0</v>
      </c>
      <c r="BI83" s="17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>
        <v>1.1000000000000001</v>
      </c>
      <c r="DP83" s="16">
        <v>1.1000000000000001</v>
      </c>
      <c r="DQ83" s="16">
        <v>1.1000000000000001</v>
      </c>
      <c r="DR83" s="16"/>
      <c r="DS83" s="16">
        <v>0</v>
      </c>
      <c r="DT83" s="16">
        <v>0</v>
      </c>
      <c r="DU83" s="16">
        <v>0</v>
      </c>
    </row>
    <row r="84" spans="1:125" ht="15" customHeight="1" x14ac:dyDescent="0.2">
      <c r="A84" s="1" t="str">
        <f>crop!A84</f>
        <v>Cow feeding system: all year indoor, maize silage &amp; soybean meal supplement</v>
      </c>
      <c r="B84" s="1" t="str">
        <f>crop!B84</f>
        <v>A.6.1</v>
      </c>
      <c r="C84" s="18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>
        <v>0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>
        <v>0</v>
      </c>
      <c r="BJ84" s="16">
        <v>5.1100000000000003</v>
      </c>
      <c r="BK84" s="16"/>
      <c r="BL84" s="16"/>
      <c r="BM84" s="16"/>
      <c r="BN84" s="16">
        <v>0</v>
      </c>
      <c r="BO84" s="16"/>
      <c r="BP84" s="16"/>
      <c r="BQ84" s="16"/>
      <c r="BR84" s="16">
        <v>0</v>
      </c>
      <c r="BS84" s="16"/>
      <c r="BT84" s="16"/>
      <c r="BU84" s="16"/>
      <c r="BV84" s="16">
        <v>0</v>
      </c>
      <c r="BW84" s="16"/>
      <c r="BX84" s="16"/>
      <c r="BY84" s="16"/>
      <c r="BZ84" s="16">
        <v>0.4</v>
      </c>
      <c r="CA84" s="16"/>
      <c r="CB84" s="16"/>
      <c r="CC84" s="16"/>
      <c r="CD84" s="16">
        <v>0</v>
      </c>
      <c r="CE84" s="16"/>
      <c r="CF84" s="16"/>
      <c r="CG84" s="16"/>
      <c r="CH84" s="16">
        <v>0</v>
      </c>
      <c r="CI84" s="16"/>
      <c r="CJ84" s="16"/>
      <c r="CK84" s="16"/>
      <c r="CL84" s="16">
        <v>0</v>
      </c>
      <c r="CM84" s="16"/>
      <c r="CN84" s="16"/>
      <c r="CO84" s="16"/>
      <c r="CP84" s="16">
        <v>0.91</v>
      </c>
      <c r="CQ84" s="16"/>
      <c r="CR84" s="16"/>
      <c r="CS84" s="16"/>
      <c r="CT84" s="16">
        <v>0</v>
      </c>
      <c r="CU84" s="16"/>
      <c r="CV84" s="16"/>
      <c r="CW84" s="16"/>
      <c r="CX84" s="16">
        <v>1.1000000000000001</v>
      </c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>
        <v>0</v>
      </c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</row>
    <row r="85" spans="1:125" ht="15" customHeight="1" x14ac:dyDescent="0.2">
      <c r="A85" s="1" t="str">
        <f>crop!A85</f>
        <v>Cow feeding system: all year indoor, sorghum silage &amp; soybean meal supplement</v>
      </c>
      <c r="B85" s="1" t="str">
        <f>crop!B85</f>
        <v>A.6.2</v>
      </c>
      <c r="C85" s="18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>
        <v>0</v>
      </c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>
        <v>0</v>
      </c>
      <c r="BJ85" s="16">
        <v>0</v>
      </c>
      <c r="BK85" s="16"/>
      <c r="BL85" s="16"/>
      <c r="BM85" s="16"/>
      <c r="BN85" s="16">
        <v>0</v>
      </c>
      <c r="BO85" s="16"/>
      <c r="BP85" s="16"/>
      <c r="BQ85" s="16"/>
      <c r="BR85" s="16">
        <v>0</v>
      </c>
      <c r="BS85" s="16"/>
      <c r="BT85" s="16"/>
      <c r="BU85" s="16"/>
      <c r="BV85" s="16">
        <v>3.29</v>
      </c>
      <c r="BW85" s="16"/>
      <c r="BX85" s="16"/>
      <c r="BY85" s="16"/>
      <c r="BZ85" s="16">
        <v>0.73</v>
      </c>
      <c r="CA85" s="16"/>
      <c r="CB85" s="16"/>
      <c r="CC85" s="16"/>
      <c r="CD85" s="16">
        <v>0</v>
      </c>
      <c r="CE85" s="16"/>
      <c r="CF85" s="16"/>
      <c r="CG85" s="16"/>
      <c r="CH85" s="16">
        <v>0</v>
      </c>
      <c r="CI85" s="16"/>
      <c r="CJ85" s="16"/>
      <c r="CK85" s="16"/>
      <c r="CL85" s="16">
        <v>0</v>
      </c>
      <c r="CM85" s="16"/>
      <c r="CN85" s="16"/>
      <c r="CO85" s="16"/>
      <c r="CP85" s="16">
        <v>0.37</v>
      </c>
      <c r="CQ85" s="16"/>
      <c r="CR85" s="16"/>
      <c r="CS85" s="16"/>
      <c r="CT85" s="16">
        <v>0</v>
      </c>
      <c r="CU85" s="16"/>
      <c r="CV85" s="16"/>
      <c r="CW85" s="16"/>
      <c r="CX85" s="16">
        <v>3.29</v>
      </c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>
        <v>0</v>
      </c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</row>
    <row r="86" spans="1:125" ht="15" customHeight="1" x14ac:dyDescent="0.2">
      <c r="A86" s="1" t="str">
        <f>crop!A86</f>
        <v>Cow feeding system: all year indoor, sorghum &amp; alfalfa silage</v>
      </c>
      <c r="B86" s="1" t="str">
        <f>crop!B86</f>
        <v>A.6.3</v>
      </c>
      <c r="C86" s="18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>
        <v>0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>
        <v>0</v>
      </c>
      <c r="BJ86" s="16">
        <v>0</v>
      </c>
      <c r="BK86" s="16"/>
      <c r="BL86" s="16"/>
      <c r="BM86" s="16"/>
      <c r="BN86" s="16">
        <v>0</v>
      </c>
      <c r="BO86" s="16"/>
      <c r="BP86" s="16"/>
      <c r="BQ86" s="16"/>
      <c r="BR86" s="16">
        <v>1.83</v>
      </c>
      <c r="BS86" s="16"/>
      <c r="BT86" s="16"/>
      <c r="BU86" s="16"/>
      <c r="BV86" s="16">
        <v>2.19</v>
      </c>
      <c r="BW86" s="16"/>
      <c r="BX86" s="16"/>
      <c r="BY86" s="16"/>
      <c r="BZ86" s="16">
        <v>0.44</v>
      </c>
      <c r="CA86" s="16"/>
      <c r="CB86" s="16"/>
      <c r="CC86" s="16"/>
      <c r="CD86" s="16">
        <v>0</v>
      </c>
      <c r="CE86" s="16"/>
      <c r="CF86" s="16"/>
      <c r="CG86" s="16"/>
      <c r="CH86" s="16">
        <v>0</v>
      </c>
      <c r="CI86" s="16"/>
      <c r="CJ86" s="16"/>
      <c r="CK86" s="16"/>
      <c r="CL86" s="16">
        <v>0</v>
      </c>
      <c r="CM86" s="16"/>
      <c r="CN86" s="16"/>
      <c r="CO86" s="16"/>
      <c r="CP86" s="16">
        <v>0</v>
      </c>
      <c r="CQ86" s="16"/>
      <c r="CR86" s="16"/>
      <c r="CS86" s="16"/>
      <c r="CT86" s="16">
        <v>0</v>
      </c>
      <c r="CU86" s="16"/>
      <c r="CV86" s="16"/>
      <c r="CW86" s="16"/>
      <c r="CX86" s="16">
        <v>3.5</v>
      </c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>
        <v>0</v>
      </c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</row>
    <row r="87" spans="1:125" ht="15" customHeight="1" x14ac:dyDescent="0.2">
      <c r="A87" s="1" t="str">
        <f>crop!A87</f>
        <v>Cow feeding system: all year indoor, maize silage, alfalfa silage &amp; soybean meal supplement</v>
      </c>
      <c r="B87" s="1" t="str">
        <f>crop!B87</f>
        <v>A.6.4</v>
      </c>
      <c r="C87" s="18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>
        <v>0</v>
      </c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>
        <v>0</v>
      </c>
      <c r="BJ87" s="16">
        <v>2.56</v>
      </c>
      <c r="BK87" s="16"/>
      <c r="BL87" s="16"/>
      <c r="BM87" s="16"/>
      <c r="BN87" s="16">
        <v>0</v>
      </c>
      <c r="BO87" s="16"/>
      <c r="BP87" s="16"/>
      <c r="BQ87" s="16"/>
      <c r="BR87" s="16">
        <v>2.37</v>
      </c>
      <c r="BS87" s="16"/>
      <c r="BT87" s="16"/>
      <c r="BU87" s="16"/>
      <c r="BV87" s="16">
        <v>0</v>
      </c>
      <c r="BW87" s="16"/>
      <c r="BX87" s="16"/>
      <c r="BY87" s="16"/>
      <c r="BZ87" s="16">
        <v>0.44</v>
      </c>
      <c r="CA87" s="16"/>
      <c r="CB87" s="16"/>
      <c r="CC87" s="16"/>
      <c r="CD87" s="16">
        <v>0</v>
      </c>
      <c r="CE87" s="16"/>
      <c r="CF87" s="16"/>
      <c r="CG87" s="16"/>
      <c r="CH87" s="16">
        <v>0</v>
      </c>
      <c r="CI87" s="16"/>
      <c r="CJ87" s="16"/>
      <c r="CK87" s="16"/>
      <c r="CL87" s="16">
        <v>0</v>
      </c>
      <c r="CM87" s="16"/>
      <c r="CN87" s="16"/>
      <c r="CO87" s="16"/>
      <c r="CP87" s="16">
        <v>0.15</v>
      </c>
      <c r="CQ87" s="16"/>
      <c r="CR87" s="16"/>
      <c r="CS87" s="16"/>
      <c r="CT87" s="16">
        <v>0</v>
      </c>
      <c r="CU87" s="16"/>
      <c r="CV87" s="16"/>
      <c r="CW87" s="16"/>
      <c r="CX87" s="16">
        <v>2.19</v>
      </c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>
        <v>0</v>
      </c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</row>
    <row r="88" spans="1:125" ht="15" customHeight="1" x14ac:dyDescent="0.2">
      <c r="A88" s="1" t="str">
        <f>crop!A88</f>
        <v>Cow feeding system: 4 months grazing &amp; soybean meal supplement</v>
      </c>
      <c r="B88" s="1" t="str">
        <f>crop!B88</f>
        <v>A.6.5</v>
      </c>
      <c r="C88" s="18"/>
      <c r="D88" s="16"/>
      <c r="E88" s="16"/>
      <c r="F88" s="16"/>
      <c r="G88" s="16"/>
      <c r="H88" s="16"/>
      <c r="I88" s="16"/>
      <c r="J88" s="16"/>
      <c r="K88" s="16"/>
      <c r="L88" s="16"/>
      <c r="M88" s="16">
        <v>0.98</v>
      </c>
      <c r="N88" s="16"/>
      <c r="O88" s="16">
        <v>1.02</v>
      </c>
      <c r="P88" s="16">
        <v>0.97</v>
      </c>
      <c r="Q88" s="16">
        <v>0.98</v>
      </c>
      <c r="R88" s="16"/>
      <c r="S88" s="16"/>
      <c r="T88" s="16"/>
      <c r="U88" s="16"/>
      <c r="V88" s="16">
        <v>0.94</v>
      </c>
      <c r="W88" s="16">
        <v>0.95</v>
      </c>
      <c r="X88" s="16">
        <v>0.93</v>
      </c>
      <c r="Y88" s="16"/>
      <c r="Z88" s="16">
        <v>1.31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>
        <v>0.76</v>
      </c>
      <c r="AM88" s="16"/>
      <c r="AN88" s="16"/>
      <c r="AO88" s="16"/>
      <c r="AP88" s="16">
        <v>0.84</v>
      </c>
      <c r="AQ88" s="16">
        <v>0.94</v>
      </c>
      <c r="AR88" s="16"/>
      <c r="AS88" s="16"/>
      <c r="AT88" s="16"/>
      <c r="AU88" s="16"/>
      <c r="AV88" s="16"/>
      <c r="AW88" s="16">
        <f>1-(24/24*4/12)</f>
        <v>0.66666666666666674</v>
      </c>
      <c r="AX88" s="16"/>
      <c r="AY88" s="16"/>
      <c r="AZ88" s="16"/>
      <c r="BA88" s="16">
        <f>1-(24/24*4/12)</f>
        <v>0.66666666666666674</v>
      </c>
      <c r="BB88" s="16"/>
      <c r="BC88" s="16"/>
      <c r="BD88" s="16"/>
      <c r="BE88" s="16">
        <f>1-(24/24*4/12)</f>
        <v>0.66666666666666674</v>
      </c>
      <c r="BF88" s="16"/>
      <c r="BG88" s="16"/>
      <c r="BH88" s="16"/>
      <c r="BI88" s="16">
        <f>4/12*365</f>
        <v>121.66666666666666</v>
      </c>
      <c r="BJ88" s="16">
        <v>4.2699999999999996</v>
      </c>
      <c r="BK88" s="16"/>
      <c r="BL88" s="16"/>
      <c r="BM88" s="16"/>
      <c r="BN88" s="16">
        <v>0</v>
      </c>
      <c r="BO88" s="16"/>
      <c r="BP88" s="16"/>
      <c r="BQ88" s="16"/>
      <c r="BR88" s="16">
        <v>0</v>
      </c>
      <c r="BS88" s="16"/>
      <c r="BT88" s="16"/>
      <c r="BU88" s="16"/>
      <c r="BV88" s="16">
        <v>0</v>
      </c>
      <c r="BW88" s="16"/>
      <c r="BX88" s="16"/>
      <c r="BY88" s="16"/>
      <c r="BZ88" s="16">
        <v>0.5</v>
      </c>
      <c r="CA88" s="16"/>
      <c r="CB88" s="16"/>
      <c r="CC88" s="16"/>
      <c r="CD88" s="16">
        <v>0.84</v>
      </c>
      <c r="CE88" s="16"/>
      <c r="CF88" s="16"/>
      <c r="CG88" s="16"/>
      <c r="CH88" s="16">
        <v>0</v>
      </c>
      <c r="CI88" s="16"/>
      <c r="CJ88" s="16"/>
      <c r="CK88" s="16"/>
      <c r="CL88" s="16">
        <v>0</v>
      </c>
      <c r="CM88" s="16"/>
      <c r="CN88" s="16"/>
      <c r="CO88" s="16"/>
      <c r="CP88" s="16">
        <v>0.62</v>
      </c>
      <c r="CQ88" s="16"/>
      <c r="CR88" s="16"/>
      <c r="CS88" s="16"/>
      <c r="CT88" s="16">
        <v>0</v>
      </c>
      <c r="CU88" s="16"/>
      <c r="CV88" s="16"/>
      <c r="CW88" s="16"/>
      <c r="CX88" s="16">
        <v>1.03</v>
      </c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>
        <v>0</v>
      </c>
      <c r="DK88" s="16"/>
      <c r="DL88" s="16"/>
      <c r="DM88" s="16"/>
      <c r="DN88" s="16">
        <f>1-(24/24*4/12)</f>
        <v>0.66666666666666674</v>
      </c>
      <c r="DO88" s="16"/>
      <c r="DP88" s="16"/>
      <c r="DQ88" s="16"/>
      <c r="DR88" s="16">
        <f>1-(24/24*4/12)</f>
        <v>0.66666666666666674</v>
      </c>
      <c r="DS88" s="16"/>
      <c r="DT88" s="16"/>
      <c r="DU88" s="16"/>
    </row>
    <row r="89" spans="1:125" ht="15" customHeight="1" x14ac:dyDescent="0.2">
      <c r="A89" s="1" t="str">
        <f>crop!A89</f>
        <v>Cow feeding system: 4 months grazing &amp; rapeseed meal supplement</v>
      </c>
      <c r="B89" s="1" t="str">
        <f>crop!B89</f>
        <v>A.6.6</v>
      </c>
      <c r="C89" s="18"/>
      <c r="D89" s="16"/>
      <c r="E89" s="16"/>
      <c r="F89" s="16"/>
      <c r="G89" s="16"/>
      <c r="H89" s="16"/>
      <c r="I89" s="16"/>
      <c r="J89" s="16"/>
      <c r="K89" s="16"/>
      <c r="L89" s="16"/>
      <c r="M89" s="16">
        <v>0.98</v>
      </c>
      <c r="N89" s="16"/>
      <c r="O89" s="16">
        <v>1.02</v>
      </c>
      <c r="P89" s="16">
        <v>0.97</v>
      </c>
      <c r="Q89" s="16">
        <v>0.98</v>
      </c>
      <c r="R89" s="16"/>
      <c r="S89" s="16"/>
      <c r="T89" s="16"/>
      <c r="U89" s="16"/>
      <c r="V89" s="16">
        <v>0.94</v>
      </c>
      <c r="W89" s="16">
        <v>0.95</v>
      </c>
      <c r="X89" s="16">
        <v>0.93</v>
      </c>
      <c r="Y89" s="16"/>
      <c r="Z89" s="16">
        <v>1.31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>
        <v>0.76</v>
      </c>
      <c r="AM89" s="16"/>
      <c r="AN89" s="16"/>
      <c r="AO89" s="16"/>
      <c r="AP89" s="16">
        <v>0.84</v>
      </c>
      <c r="AQ89" s="16">
        <v>0.94</v>
      </c>
      <c r="AR89" s="16"/>
      <c r="AS89" s="16"/>
      <c r="AT89" s="16"/>
      <c r="AU89" s="16"/>
      <c r="AV89" s="16"/>
      <c r="AW89" s="16">
        <f>1-(24/24*4/12)</f>
        <v>0.66666666666666674</v>
      </c>
      <c r="AX89" s="16"/>
      <c r="AY89" s="16"/>
      <c r="AZ89" s="16"/>
      <c r="BA89" s="16">
        <f>1-(24/24*4/12)</f>
        <v>0.66666666666666674</v>
      </c>
      <c r="BB89" s="16"/>
      <c r="BC89" s="16"/>
      <c r="BD89" s="16"/>
      <c r="BE89" s="16">
        <f>1-(24/24*4/12)</f>
        <v>0.66666666666666674</v>
      </c>
      <c r="BF89" s="16"/>
      <c r="BG89" s="16"/>
      <c r="BH89" s="16"/>
      <c r="BI89" s="16">
        <f>4/12*365</f>
        <v>121.66666666666666</v>
      </c>
      <c r="BJ89" s="16">
        <v>2.56</v>
      </c>
      <c r="BK89" s="16"/>
      <c r="BL89" s="16"/>
      <c r="BM89" s="16"/>
      <c r="BN89" s="16">
        <v>1.72</v>
      </c>
      <c r="BO89" s="16"/>
      <c r="BP89" s="16"/>
      <c r="BQ89" s="16"/>
      <c r="BR89" s="16">
        <v>0</v>
      </c>
      <c r="BS89" s="16"/>
      <c r="BT89" s="16"/>
      <c r="BU89" s="16"/>
      <c r="BV89" s="16">
        <v>0</v>
      </c>
      <c r="BW89" s="16"/>
      <c r="BX89" s="16"/>
      <c r="BY89" s="16"/>
      <c r="BZ89" s="16">
        <v>0.18</v>
      </c>
      <c r="CA89" s="16"/>
      <c r="CB89" s="16"/>
      <c r="CC89" s="16"/>
      <c r="CD89" s="16">
        <v>0.84</v>
      </c>
      <c r="CE89" s="16"/>
      <c r="CF89" s="16"/>
      <c r="CG89" s="16"/>
      <c r="CH89" s="16">
        <v>0</v>
      </c>
      <c r="CI89" s="16"/>
      <c r="CJ89" s="16"/>
      <c r="CK89" s="16"/>
      <c r="CL89" s="16">
        <v>0.55000000000000004</v>
      </c>
      <c r="CM89" s="16"/>
      <c r="CN89" s="16"/>
      <c r="CO89" s="16"/>
      <c r="CP89" s="16">
        <v>0</v>
      </c>
      <c r="CQ89" s="16"/>
      <c r="CR89" s="16"/>
      <c r="CS89" s="16"/>
      <c r="CT89" s="16">
        <v>0</v>
      </c>
      <c r="CU89" s="16"/>
      <c r="CV89" s="16"/>
      <c r="CW89" s="16"/>
      <c r="CX89" s="16">
        <v>1.77</v>
      </c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>
        <v>0</v>
      </c>
      <c r="DK89" s="16"/>
      <c r="DL89" s="16"/>
      <c r="DM89" s="16"/>
      <c r="DN89" s="16">
        <f>1-(24/24*4/12)</f>
        <v>0.66666666666666674</v>
      </c>
      <c r="DO89" s="16"/>
      <c r="DP89" s="16"/>
      <c r="DQ89" s="16"/>
      <c r="DR89" s="16">
        <f>1-(24/24*4/12)</f>
        <v>0.66666666666666674</v>
      </c>
      <c r="DS89" s="16"/>
      <c r="DT89" s="16"/>
      <c r="DU89" s="16"/>
    </row>
    <row r="90" spans="1:125" ht="15" customHeight="1" x14ac:dyDescent="0.2">
      <c r="A90" s="1" t="str">
        <f>crop!A90</f>
        <v>Cow feeding system: 5 months grazing &amp; rapeseed meal supplement</v>
      </c>
      <c r="B90" s="1" t="str">
        <f>crop!B90</f>
        <v>A.6.7</v>
      </c>
      <c r="C90" s="18"/>
      <c r="D90" s="16"/>
      <c r="E90" s="16"/>
      <c r="F90" s="16"/>
      <c r="G90" s="16"/>
      <c r="H90" s="16"/>
      <c r="I90" s="16"/>
      <c r="J90" s="16"/>
      <c r="K90" s="16"/>
      <c r="L90" s="16"/>
      <c r="M90" s="16">
        <v>0.98</v>
      </c>
      <c r="N90" s="16"/>
      <c r="O90" s="16">
        <v>1.02</v>
      </c>
      <c r="P90" s="16">
        <v>0.97</v>
      </c>
      <c r="Q90" s="16">
        <v>0.98</v>
      </c>
      <c r="R90" s="16"/>
      <c r="S90" s="16"/>
      <c r="T90" s="16"/>
      <c r="U90" s="16"/>
      <c r="V90" s="16">
        <v>0.88</v>
      </c>
      <c r="W90" s="16">
        <v>0.94</v>
      </c>
      <c r="X90" s="16">
        <v>0.92</v>
      </c>
      <c r="Y90" s="16">
        <v>0.95</v>
      </c>
      <c r="Z90" s="16">
        <v>1.39</v>
      </c>
      <c r="AA90" s="16"/>
      <c r="AB90" s="16"/>
      <c r="AC90" s="16"/>
      <c r="AD90" s="24">
        <v>0.95</v>
      </c>
      <c r="AE90" s="16"/>
      <c r="AF90" s="16"/>
      <c r="AG90" s="16"/>
      <c r="AH90" s="16"/>
      <c r="AI90" s="16"/>
      <c r="AJ90" s="16"/>
      <c r="AK90" s="16"/>
      <c r="AL90" s="16">
        <v>0.72</v>
      </c>
      <c r="AM90" s="16"/>
      <c r="AN90" s="16"/>
      <c r="AO90" s="16"/>
      <c r="AP90" s="16">
        <v>0.76</v>
      </c>
      <c r="AQ90" s="16">
        <v>0.88</v>
      </c>
      <c r="AR90" s="16"/>
      <c r="AS90" s="16"/>
      <c r="AT90" s="16"/>
      <c r="AU90" s="16"/>
      <c r="AV90" s="16"/>
      <c r="AW90" s="16">
        <f>1-(24/24*5/12)</f>
        <v>0.58333333333333326</v>
      </c>
      <c r="AX90" s="16"/>
      <c r="AY90" s="16"/>
      <c r="AZ90" s="16"/>
      <c r="BA90" s="16">
        <f>1-(24/24*5/12)</f>
        <v>0.58333333333333326</v>
      </c>
      <c r="BB90" s="16"/>
      <c r="BC90" s="16"/>
      <c r="BD90" s="16"/>
      <c r="BE90" s="16">
        <f>1-(24/24*5/12)</f>
        <v>0.58333333333333326</v>
      </c>
      <c r="BF90" s="16"/>
      <c r="BG90" s="16"/>
      <c r="BH90" s="16"/>
      <c r="BI90" s="16">
        <f>5/12*365</f>
        <v>152.08333333333334</v>
      </c>
      <c r="BJ90" s="16">
        <v>1.68</v>
      </c>
      <c r="BK90" s="16"/>
      <c r="BL90" s="16"/>
      <c r="BM90" s="16"/>
      <c r="BN90" s="16">
        <v>1.47</v>
      </c>
      <c r="BO90" s="16"/>
      <c r="BP90" s="16"/>
      <c r="BQ90" s="16"/>
      <c r="BR90" s="16">
        <v>0</v>
      </c>
      <c r="BS90" s="16"/>
      <c r="BT90" s="16"/>
      <c r="BU90" s="16"/>
      <c r="BV90" s="16">
        <v>0</v>
      </c>
      <c r="BW90" s="16"/>
      <c r="BX90" s="16"/>
      <c r="BY90" s="16"/>
      <c r="BZ90" s="16">
        <v>0.14000000000000001</v>
      </c>
      <c r="CA90" s="16"/>
      <c r="CB90" s="16"/>
      <c r="CC90" s="16"/>
      <c r="CD90" s="16">
        <v>2.33</v>
      </c>
      <c r="CE90" s="16"/>
      <c r="CF90" s="16"/>
      <c r="CG90" s="16"/>
      <c r="CH90" s="16">
        <v>0</v>
      </c>
      <c r="CI90" s="16"/>
      <c r="CJ90" s="16"/>
      <c r="CK90" s="16"/>
      <c r="CL90" s="16">
        <v>0.48</v>
      </c>
      <c r="CM90" s="16"/>
      <c r="CN90" s="16"/>
      <c r="CO90" s="16"/>
      <c r="CP90" s="16">
        <v>0</v>
      </c>
      <c r="CQ90" s="16"/>
      <c r="CR90" s="16"/>
      <c r="CS90" s="16"/>
      <c r="CT90" s="16">
        <v>0</v>
      </c>
      <c r="CU90" s="16"/>
      <c r="CV90" s="16"/>
      <c r="CW90" s="16"/>
      <c r="CX90" s="16">
        <v>1.04</v>
      </c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>
        <v>0</v>
      </c>
      <c r="DK90" s="16"/>
      <c r="DL90" s="16"/>
      <c r="DM90" s="16"/>
      <c r="DN90" s="16">
        <f>1-(24/24*5/12)</f>
        <v>0.58333333333333326</v>
      </c>
      <c r="DO90" s="16"/>
      <c r="DP90" s="16"/>
      <c r="DQ90" s="16"/>
      <c r="DR90" s="16">
        <f>1-(24/24*5/12)</f>
        <v>0.58333333333333326</v>
      </c>
      <c r="DS90" s="16"/>
      <c r="DT90" s="16"/>
      <c r="DU90" s="16"/>
    </row>
    <row r="91" spans="1:125" ht="15" customHeight="1" x14ac:dyDescent="0.2">
      <c r="A91" s="1" t="str">
        <f>crop!A91</f>
        <v>Cow feeding system: 7 months grazing &amp; rapeseed meal supplement</v>
      </c>
      <c r="B91" s="1" t="str">
        <f>crop!B91</f>
        <v>A.6.8</v>
      </c>
      <c r="C91" s="18"/>
      <c r="D91" s="16"/>
      <c r="E91" s="16"/>
      <c r="F91" s="16"/>
      <c r="G91" s="16"/>
      <c r="H91" s="16"/>
      <c r="I91" s="16"/>
      <c r="J91" s="16"/>
      <c r="K91" s="16"/>
      <c r="L91" s="16"/>
      <c r="M91" s="16">
        <v>0.95</v>
      </c>
      <c r="N91" s="16"/>
      <c r="O91" s="16">
        <v>1.05</v>
      </c>
      <c r="P91" s="16">
        <v>0.95</v>
      </c>
      <c r="Q91" s="16">
        <v>0.96</v>
      </c>
      <c r="R91" s="16"/>
      <c r="S91" s="16"/>
      <c r="T91" s="16"/>
      <c r="U91" s="16"/>
      <c r="V91" s="16">
        <v>0.88</v>
      </c>
      <c r="W91" s="16">
        <v>0.94</v>
      </c>
      <c r="X91" s="16">
        <v>0.92</v>
      </c>
      <c r="Y91" s="16">
        <v>0.93</v>
      </c>
      <c r="Z91" s="16">
        <v>1.55</v>
      </c>
      <c r="AA91" s="16"/>
      <c r="AB91" s="16"/>
      <c r="AC91" s="16"/>
      <c r="AD91" s="24">
        <v>0.93</v>
      </c>
      <c r="AE91" s="16"/>
      <c r="AF91" s="16"/>
      <c r="AG91" s="16"/>
      <c r="AH91" s="16"/>
      <c r="AI91" s="16"/>
      <c r="AJ91" s="16"/>
      <c r="AK91" s="16"/>
      <c r="AL91" s="16">
        <v>0.65</v>
      </c>
      <c r="AM91" s="16"/>
      <c r="AN91" s="16"/>
      <c r="AO91" s="16"/>
      <c r="AP91" s="16">
        <v>0.76</v>
      </c>
      <c r="AQ91" s="16">
        <v>0.88</v>
      </c>
      <c r="AR91" s="16"/>
      <c r="AS91" s="16"/>
      <c r="AT91" s="16"/>
      <c r="AU91" s="16"/>
      <c r="AV91" s="16"/>
      <c r="AW91" s="16">
        <f>1-(24/24*7/12)</f>
        <v>0.41666666666666663</v>
      </c>
      <c r="AX91" s="16"/>
      <c r="AY91" s="16"/>
      <c r="AZ91" s="16"/>
      <c r="BA91" s="16">
        <f>1-(24/24*7/12)</f>
        <v>0.41666666666666663</v>
      </c>
      <c r="BB91" s="16"/>
      <c r="BC91" s="16"/>
      <c r="BD91" s="16"/>
      <c r="BE91" s="16">
        <f>1-(24/24*7/12)</f>
        <v>0.41666666666666663</v>
      </c>
      <c r="BF91" s="16"/>
      <c r="BG91" s="16"/>
      <c r="BH91" s="16"/>
      <c r="BI91" s="16">
        <f>7/12*365</f>
        <v>212.91666666666669</v>
      </c>
      <c r="BJ91" s="16">
        <v>1.87</v>
      </c>
      <c r="BK91" s="16"/>
      <c r="BL91" s="16"/>
      <c r="BM91" s="16"/>
      <c r="BN91" s="16">
        <v>1.0900000000000001</v>
      </c>
      <c r="BO91" s="16"/>
      <c r="BP91" s="16"/>
      <c r="BQ91" s="16"/>
      <c r="BR91" s="16">
        <v>0</v>
      </c>
      <c r="BS91" s="16"/>
      <c r="BT91" s="16"/>
      <c r="BU91" s="16"/>
      <c r="BV91" s="16">
        <v>0</v>
      </c>
      <c r="BW91" s="16"/>
      <c r="BX91" s="16"/>
      <c r="BY91" s="16"/>
      <c r="BZ91" s="16">
        <v>0.27</v>
      </c>
      <c r="CA91" s="16"/>
      <c r="CB91" s="16"/>
      <c r="CC91" s="16"/>
      <c r="CD91" s="16">
        <v>2.4300000000000002</v>
      </c>
      <c r="CE91" s="16"/>
      <c r="CF91" s="16"/>
      <c r="CG91" s="16"/>
      <c r="CH91" s="16">
        <v>0</v>
      </c>
      <c r="CI91" s="16"/>
      <c r="CJ91" s="16"/>
      <c r="CK91" s="16"/>
      <c r="CL91" s="16">
        <v>0.43</v>
      </c>
      <c r="CM91" s="16"/>
      <c r="CN91" s="16"/>
      <c r="CO91" s="16"/>
      <c r="CP91" s="16">
        <v>0</v>
      </c>
      <c r="CQ91" s="16"/>
      <c r="CR91" s="16"/>
      <c r="CS91" s="16"/>
      <c r="CT91" s="16">
        <v>0</v>
      </c>
      <c r="CU91" s="16"/>
      <c r="CV91" s="16"/>
      <c r="CW91" s="16"/>
      <c r="CX91" s="16">
        <v>1.08</v>
      </c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>
        <v>0</v>
      </c>
      <c r="DK91" s="16"/>
      <c r="DL91" s="16"/>
      <c r="DM91" s="16"/>
      <c r="DN91" s="16">
        <f>1-(24/24*7/12)</f>
        <v>0.41666666666666663</v>
      </c>
      <c r="DO91" s="16"/>
      <c r="DP91" s="16"/>
      <c r="DQ91" s="16"/>
      <c r="DR91" s="16">
        <f>1-(24/24*7/12)</f>
        <v>0.41666666666666663</v>
      </c>
      <c r="DS91" s="16"/>
      <c r="DT91" s="16"/>
      <c r="DU91" s="16"/>
    </row>
    <row r="92" spans="1:125" ht="15" customHeight="1" x14ac:dyDescent="0.2">
      <c r="A92" s="1" t="str">
        <f>crop!A92</f>
        <v>Cow feeding system: 8 months grazing &amp; faba bean supplement</v>
      </c>
      <c r="B92" s="1" t="str">
        <f>crop!B92</f>
        <v>A.6.9</v>
      </c>
      <c r="C92" s="18"/>
      <c r="D92" s="16"/>
      <c r="E92" s="16"/>
      <c r="F92" s="16"/>
      <c r="G92" s="16"/>
      <c r="H92" s="16"/>
      <c r="I92" s="16"/>
      <c r="J92" s="16"/>
      <c r="K92" s="16"/>
      <c r="L92" s="16"/>
      <c r="M92" s="16">
        <v>0.95</v>
      </c>
      <c r="N92" s="16"/>
      <c r="O92" s="16">
        <v>1.05</v>
      </c>
      <c r="P92" s="16">
        <v>0.95</v>
      </c>
      <c r="Q92" s="16">
        <v>0.96</v>
      </c>
      <c r="R92" s="16"/>
      <c r="S92" s="16"/>
      <c r="T92" s="16"/>
      <c r="U92" s="16"/>
      <c r="V92" s="16">
        <v>0.82</v>
      </c>
      <c r="W92" s="16">
        <v>0.93</v>
      </c>
      <c r="X92" s="16">
        <v>0.91</v>
      </c>
      <c r="Y92" s="16">
        <v>0.92</v>
      </c>
      <c r="Z92" s="16">
        <v>1.63</v>
      </c>
      <c r="AA92" s="16"/>
      <c r="AB92" s="16"/>
      <c r="AC92" s="16"/>
      <c r="AD92" s="24">
        <v>0.92</v>
      </c>
      <c r="AE92" s="16"/>
      <c r="AF92" s="16"/>
      <c r="AG92" s="16"/>
      <c r="AH92" s="16"/>
      <c r="AI92" s="16"/>
      <c r="AJ92" s="16"/>
      <c r="AK92" s="16"/>
      <c r="AL92" s="16">
        <v>0.61</v>
      </c>
      <c r="AM92" s="16"/>
      <c r="AN92" s="16"/>
      <c r="AO92" s="16"/>
      <c r="AP92" s="16">
        <v>0.67</v>
      </c>
      <c r="AQ92" s="16">
        <v>0.82</v>
      </c>
      <c r="AR92" s="16"/>
      <c r="AS92" s="16"/>
      <c r="AT92" s="16"/>
      <c r="AU92" s="16"/>
      <c r="AV92" s="16"/>
      <c r="AW92" s="16">
        <f>1-(24/24*8/12)</f>
        <v>0.33333333333333337</v>
      </c>
      <c r="AX92" s="16"/>
      <c r="AY92" s="16"/>
      <c r="AZ92" s="16"/>
      <c r="BA92" s="16">
        <f>1-(24/24*8/12)</f>
        <v>0.33333333333333337</v>
      </c>
      <c r="BB92" s="16"/>
      <c r="BC92" s="16"/>
      <c r="BD92" s="16"/>
      <c r="BE92" s="16">
        <f>1-(24/24*8/12)</f>
        <v>0.33333333333333337</v>
      </c>
      <c r="BF92" s="16"/>
      <c r="BG92" s="16"/>
      <c r="BH92" s="16"/>
      <c r="BI92" s="16">
        <f>8/12*365</f>
        <v>243.33333333333331</v>
      </c>
      <c r="BJ92" s="16">
        <v>0.88</v>
      </c>
      <c r="BK92" s="16"/>
      <c r="BL92" s="16"/>
      <c r="BM92" s="16"/>
      <c r="BN92" s="16">
        <v>1.72</v>
      </c>
      <c r="BO92" s="16"/>
      <c r="BP92" s="16"/>
      <c r="BQ92" s="16"/>
      <c r="BR92" s="16">
        <v>0</v>
      </c>
      <c r="BS92" s="16"/>
      <c r="BT92" s="16"/>
      <c r="BU92" s="16"/>
      <c r="BV92" s="16">
        <v>0</v>
      </c>
      <c r="BW92" s="16"/>
      <c r="BX92" s="16"/>
      <c r="BY92" s="16"/>
      <c r="BZ92" s="16">
        <v>0.36</v>
      </c>
      <c r="CA92" s="16"/>
      <c r="CB92" s="16"/>
      <c r="CC92" s="16"/>
      <c r="CD92" s="16">
        <v>2.64</v>
      </c>
      <c r="CE92" s="16"/>
      <c r="CF92" s="16"/>
      <c r="CG92" s="16"/>
      <c r="CH92" s="16">
        <v>0</v>
      </c>
      <c r="CI92" s="16"/>
      <c r="CJ92" s="16"/>
      <c r="CK92" s="16"/>
      <c r="CL92" s="16">
        <v>0</v>
      </c>
      <c r="CM92" s="16"/>
      <c r="CN92" s="16"/>
      <c r="CO92" s="16"/>
      <c r="CP92" s="16">
        <v>0</v>
      </c>
      <c r="CQ92" s="16"/>
      <c r="CR92" s="16"/>
      <c r="CS92" s="16"/>
      <c r="CT92" s="16">
        <v>0.18</v>
      </c>
      <c r="CU92" s="16"/>
      <c r="CV92" s="16"/>
      <c r="CW92" s="16"/>
      <c r="CX92" s="16">
        <v>1.32</v>
      </c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>
        <v>0</v>
      </c>
      <c r="DK92" s="16"/>
      <c r="DL92" s="16"/>
      <c r="DM92" s="16"/>
      <c r="DN92" s="16">
        <f>1-(24/24*8/12)</f>
        <v>0.33333333333333337</v>
      </c>
      <c r="DO92" s="16"/>
      <c r="DP92" s="16"/>
      <c r="DQ92" s="16"/>
      <c r="DR92" s="16">
        <f>1-(24/24*8/12)</f>
        <v>0.33333333333333337</v>
      </c>
      <c r="DS92" s="16"/>
      <c r="DT92" s="16"/>
      <c r="DU92" s="16"/>
    </row>
    <row r="93" spans="1:125" ht="15" customHeight="1" x14ac:dyDescent="0.2">
      <c r="A93" s="1" t="str">
        <f>crop!A93</f>
        <v>Cow feeding system: all year indoor, hay &amp; rapeseed meal supplement</v>
      </c>
      <c r="B93" s="1" t="str">
        <f>crop!B93</f>
        <v>A.6.10</v>
      </c>
      <c r="C93" s="18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>
        <v>0.76</v>
      </c>
      <c r="W93" s="16"/>
      <c r="X93" s="16"/>
      <c r="Y93" s="16">
        <v>0.99</v>
      </c>
      <c r="Z93" s="16"/>
      <c r="AA93" s="16"/>
      <c r="AB93" s="16"/>
      <c r="AC93" s="16"/>
      <c r="AD93" s="24">
        <v>0.99</v>
      </c>
      <c r="AE93" s="16"/>
      <c r="AF93" s="16"/>
      <c r="AG93" s="16"/>
      <c r="AH93" s="16">
        <v>0</v>
      </c>
      <c r="AI93" s="16"/>
      <c r="AJ93" s="16"/>
      <c r="AK93" s="16"/>
      <c r="AL93" s="16"/>
      <c r="AM93" s="16"/>
      <c r="AN93" s="16"/>
      <c r="AO93" s="16"/>
      <c r="AP93" s="16">
        <v>0.74</v>
      </c>
      <c r="AQ93" s="16">
        <v>0.76</v>
      </c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>
        <v>0</v>
      </c>
      <c r="BJ93" s="16">
        <v>0</v>
      </c>
      <c r="BK93" s="16"/>
      <c r="BL93" s="16"/>
      <c r="BM93" s="16"/>
      <c r="BN93" s="16">
        <v>0</v>
      </c>
      <c r="BO93" s="16"/>
      <c r="BP93" s="16"/>
      <c r="BQ93" s="16"/>
      <c r="BR93" s="16">
        <v>0</v>
      </c>
      <c r="BS93" s="16"/>
      <c r="BT93" s="16"/>
      <c r="BU93" s="16"/>
      <c r="BV93" s="16">
        <v>0</v>
      </c>
      <c r="BW93" s="16"/>
      <c r="BX93" s="16"/>
      <c r="BY93" s="16"/>
      <c r="BZ93" s="16">
        <v>5.29</v>
      </c>
      <c r="CA93" s="16"/>
      <c r="CB93" s="16"/>
      <c r="CC93" s="16"/>
      <c r="CD93" s="16">
        <v>0</v>
      </c>
      <c r="CE93" s="16"/>
      <c r="CF93" s="16"/>
      <c r="CG93" s="16"/>
      <c r="CH93" s="16">
        <v>0</v>
      </c>
      <c r="CI93" s="16"/>
      <c r="CJ93" s="16"/>
      <c r="CK93" s="16"/>
      <c r="CL93" s="16">
        <v>0.15</v>
      </c>
      <c r="CM93" s="16"/>
      <c r="CN93" s="16"/>
      <c r="CO93" s="16"/>
      <c r="CP93" s="16">
        <v>0</v>
      </c>
      <c r="CQ93" s="16"/>
      <c r="CR93" s="16"/>
      <c r="CS93" s="16"/>
      <c r="CT93" s="16">
        <v>0</v>
      </c>
      <c r="CU93" s="16"/>
      <c r="CV93" s="16"/>
      <c r="CW93" s="16"/>
      <c r="CX93" s="16">
        <v>1.28</v>
      </c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>
        <v>0</v>
      </c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</row>
    <row r="94" spans="1:125" ht="15" customHeight="1" x14ac:dyDescent="0.2">
      <c r="A94" s="6" t="str">
        <f>crop!A94</f>
        <v>Cow feeding system: 9 months grazing, without protein feed supplement</v>
      </c>
      <c r="B94" s="6" t="str">
        <f>crop!B94</f>
        <v>A.6.11</v>
      </c>
      <c r="C94" s="18"/>
      <c r="D94" s="16"/>
      <c r="E94" s="16"/>
      <c r="F94" s="16"/>
      <c r="G94" s="16"/>
      <c r="H94" s="16"/>
      <c r="I94" s="16"/>
      <c r="J94" s="16"/>
      <c r="K94" s="16"/>
      <c r="L94" s="16"/>
      <c r="M94" s="16">
        <v>0.95</v>
      </c>
      <c r="N94" s="16"/>
      <c r="O94" s="16">
        <v>1.05</v>
      </c>
      <c r="P94" s="16">
        <v>0.95</v>
      </c>
      <c r="Q94" s="16">
        <v>0.96</v>
      </c>
      <c r="R94" s="16"/>
      <c r="S94" s="16"/>
      <c r="T94" s="16"/>
      <c r="U94" s="16"/>
      <c r="V94" s="16">
        <v>0.76</v>
      </c>
      <c r="W94" s="16">
        <v>0.92</v>
      </c>
      <c r="X94" s="16">
        <v>0.9</v>
      </c>
      <c r="Y94" s="16">
        <v>0.92</v>
      </c>
      <c r="Z94" s="16">
        <v>1.7</v>
      </c>
      <c r="AA94" s="16"/>
      <c r="AB94" s="16"/>
      <c r="AC94" s="16"/>
      <c r="AD94" s="24">
        <v>0.92</v>
      </c>
      <c r="AE94" s="16"/>
      <c r="AF94" s="16"/>
      <c r="AG94" s="16"/>
      <c r="AH94" s="16"/>
      <c r="AI94" s="16"/>
      <c r="AJ94" s="16"/>
      <c r="AK94" s="16"/>
      <c r="AL94" s="16">
        <v>0.59</v>
      </c>
      <c r="AM94" s="16"/>
      <c r="AN94" s="16"/>
      <c r="AO94" s="16"/>
      <c r="AP94" s="16">
        <v>0.67</v>
      </c>
      <c r="AQ94" s="16">
        <v>0.76</v>
      </c>
      <c r="AR94" s="16"/>
      <c r="AS94" s="16"/>
      <c r="AT94" s="16"/>
      <c r="AU94" s="16"/>
      <c r="AV94" s="16"/>
      <c r="AW94" s="16">
        <f>1-(24/24*9/12)</f>
        <v>0.25</v>
      </c>
      <c r="AX94" s="16"/>
      <c r="AY94" s="16"/>
      <c r="AZ94" s="16"/>
      <c r="BA94" s="16">
        <f>1-(24/24*9/12)</f>
        <v>0.25</v>
      </c>
      <c r="BB94" s="16"/>
      <c r="BC94" s="16"/>
      <c r="BD94" s="16"/>
      <c r="BE94" s="16">
        <f>1-(24/24*9/12)</f>
        <v>0.25</v>
      </c>
      <c r="BF94" s="16"/>
      <c r="BG94" s="16"/>
      <c r="BH94" s="16"/>
      <c r="BI94" s="16">
        <f>9/12*365</f>
        <v>273.75</v>
      </c>
      <c r="BJ94" s="16">
        <v>0</v>
      </c>
      <c r="BK94" s="16"/>
      <c r="BL94" s="16"/>
      <c r="BM94" s="16"/>
      <c r="BN94" s="16">
        <v>2.35</v>
      </c>
      <c r="BO94" s="16"/>
      <c r="BP94" s="16"/>
      <c r="BQ94" s="16"/>
      <c r="BR94" s="16">
        <v>0</v>
      </c>
      <c r="BS94" s="16"/>
      <c r="BT94" s="16"/>
      <c r="BU94" s="16"/>
      <c r="BV94" s="16">
        <v>0</v>
      </c>
      <c r="BW94" s="16"/>
      <c r="BX94" s="16"/>
      <c r="BY94" s="16"/>
      <c r="BZ94" s="16">
        <v>0.26</v>
      </c>
      <c r="CA94" s="16"/>
      <c r="CB94" s="16"/>
      <c r="CC94" s="16"/>
      <c r="CD94" s="16">
        <v>3.16</v>
      </c>
      <c r="CE94" s="16"/>
      <c r="CF94" s="16"/>
      <c r="CG94" s="16"/>
      <c r="CH94" s="16">
        <v>0</v>
      </c>
      <c r="CI94" s="16"/>
      <c r="CJ94" s="16"/>
      <c r="CK94" s="16"/>
      <c r="CL94" s="16">
        <v>0</v>
      </c>
      <c r="CM94" s="16"/>
      <c r="CN94" s="16"/>
      <c r="CO94" s="16"/>
      <c r="CP94" s="16">
        <v>0</v>
      </c>
      <c r="CQ94" s="16"/>
      <c r="CR94" s="16"/>
      <c r="CS94" s="16"/>
      <c r="CT94" s="16">
        <v>0</v>
      </c>
      <c r="CU94" s="16"/>
      <c r="CV94" s="16"/>
      <c r="CW94" s="16"/>
      <c r="CX94" s="16">
        <v>0.94</v>
      </c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>
        <v>0</v>
      </c>
      <c r="DK94" s="16"/>
      <c r="DL94" s="16"/>
      <c r="DM94" s="16"/>
      <c r="DN94" s="16">
        <f>1-(24/24*9/12)</f>
        <v>0.25</v>
      </c>
      <c r="DO94" s="16"/>
      <c r="DP94" s="16"/>
      <c r="DQ94" s="16"/>
      <c r="DR94" s="16">
        <f>1-(24/24*9/12)</f>
        <v>0.25</v>
      </c>
      <c r="DS94" s="16"/>
      <c r="DT94" s="16"/>
      <c r="DU94" s="16"/>
    </row>
    <row r="95" spans="1:125" ht="15" customHeight="1" x14ac:dyDescent="0.2">
      <c r="A95" s="2" t="str">
        <f>crop!A95</f>
        <v>No concentrate supply for lactating dairy cows</v>
      </c>
      <c r="B95" s="1" t="str">
        <f>crop!B95</f>
        <v>A.7.1</v>
      </c>
      <c r="C95" s="18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24"/>
      <c r="W95" s="16"/>
      <c r="X95" s="16"/>
      <c r="Y95" s="24"/>
      <c r="Z95" s="16"/>
      <c r="AA95" s="16"/>
      <c r="AB95" s="16"/>
      <c r="AC95" s="16"/>
      <c r="AD95" s="24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24"/>
      <c r="AQ95" s="24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>
        <v>0</v>
      </c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>
        <v>0</v>
      </c>
      <c r="BW95" s="16"/>
      <c r="BX95" s="16"/>
      <c r="BY95" s="16"/>
      <c r="BZ95" s="16">
        <v>0</v>
      </c>
      <c r="CA95" s="16"/>
      <c r="CB95" s="16"/>
      <c r="CC95" s="16"/>
      <c r="CD95" s="16">
        <v>0</v>
      </c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</row>
    <row r="96" spans="1:125" ht="15" customHeight="1" x14ac:dyDescent="0.2">
      <c r="A96" s="2" t="str">
        <f>crop!A96</f>
        <v>+1000 kg / cow / year with soybean meal and cereals</v>
      </c>
      <c r="B96" s="1" t="str">
        <f>crop!B96</f>
        <v>A.7.2</v>
      </c>
      <c r="C96" s="18"/>
      <c r="D96" s="16"/>
      <c r="E96" s="16"/>
      <c r="F96" s="16"/>
      <c r="G96" s="16"/>
      <c r="H96" s="16"/>
      <c r="I96" s="16"/>
      <c r="J96" s="16"/>
      <c r="K96" s="16"/>
      <c r="L96" s="16"/>
      <c r="M96" s="16">
        <v>1.05</v>
      </c>
      <c r="N96" s="16">
        <v>0.98</v>
      </c>
      <c r="O96" s="16">
        <v>0.95</v>
      </c>
      <c r="P96" s="16">
        <v>1.02</v>
      </c>
      <c r="Q96" s="16"/>
      <c r="R96" s="16"/>
      <c r="S96" s="16"/>
      <c r="T96" s="16"/>
      <c r="U96" s="16"/>
      <c r="V96" s="24">
        <v>900</v>
      </c>
      <c r="W96" s="16"/>
      <c r="X96" s="16"/>
      <c r="Y96" s="24">
        <v>0.08</v>
      </c>
      <c r="Z96" s="16">
        <v>0.98</v>
      </c>
      <c r="AA96" s="16"/>
      <c r="AB96" s="16"/>
      <c r="AC96" s="16"/>
      <c r="AD96" s="24">
        <v>0.08</v>
      </c>
      <c r="AE96" s="16"/>
      <c r="AF96" s="16"/>
      <c r="AG96" s="16"/>
      <c r="AH96" s="16"/>
      <c r="AI96" s="16"/>
      <c r="AJ96" s="16"/>
      <c r="AK96" s="16"/>
      <c r="AL96" s="16">
        <v>1.02</v>
      </c>
      <c r="AM96" s="16"/>
      <c r="AN96" s="16"/>
      <c r="AO96" s="16"/>
      <c r="AP96" s="24">
        <v>0.34</v>
      </c>
      <c r="AQ96" s="24">
        <v>3500</v>
      </c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>
        <v>-1</v>
      </c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>
        <v>-1</v>
      </c>
      <c r="BW96" s="16"/>
      <c r="BX96" s="16"/>
      <c r="BY96" s="16"/>
      <c r="BZ96" s="16">
        <v>-1</v>
      </c>
      <c r="CA96" s="16"/>
      <c r="CB96" s="16"/>
      <c r="CC96" s="16"/>
      <c r="CD96" s="16">
        <v>-1</v>
      </c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>
        <f>400/1000</f>
        <v>0.4</v>
      </c>
      <c r="CQ96" s="16"/>
      <c r="CR96" s="16"/>
      <c r="CS96" s="16"/>
      <c r="CT96" s="16"/>
      <c r="CU96" s="16"/>
      <c r="CV96" s="16"/>
      <c r="CW96" s="16"/>
      <c r="CX96" s="16">
        <f>1600/1000</f>
        <v>1.6</v>
      </c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</row>
    <row r="97" spans="1:125" ht="15" customHeight="1" x14ac:dyDescent="0.2">
      <c r="A97" s="2" t="str">
        <f>crop!A97</f>
        <v>+500 kg / cow / year with soybean meal and cereals</v>
      </c>
      <c r="B97" s="1" t="str">
        <f>crop!B97</f>
        <v>A.7.3</v>
      </c>
      <c r="C97" s="18"/>
      <c r="D97" s="16"/>
      <c r="E97" s="16"/>
      <c r="F97" s="16"/>
      <c r="G97" s="16"/>
      <c r="H97" s="16"/>
      <c r="I97" s="16"/>
      <c r="J97" s="16"/>
      <c r="K97" s="16"/>
      <c r="L97" s="16"/>
      <c r="M97" s="16">
        <v>1.03</v>
      </c>
      <c r="N97" s="16"/>
      <c r="O97" s="16">
        <v>0.98</v>
      </c>
      <c r="P97" s="16"/>
      <c r="Q97" s="16"/>
      <c r="R97" s="16"/>
      <c r="S97" s="16"/>
      <c r="T97" s="16"/>
      <c r="U97" s="16"/>
      <c r="V97" s="24">
        <v>450</v>
      </c>
      <c r="W97" s="16"/>
      <c r="X97" s="16"/>
      <c r="Y97" s="24">
        <v>0.04</v>
      </c>
      <c r="Z97" s="16">
        <v>0.99</v>
      </c>
      <c r="AA97" s="16"/>
      <c r="AB97" s="16"/>
      <c r="AC97" s="16"/>
      <c r="AD97" s="24">
        <v>0.04</v>
      </c>
      <c r="AE97" s="16"/>
      <c r="AF97" s="16"/>
      <c r="AG97" s="16"/>
      <c r="AH97" s="16"/>
      <c r="AI97" s="16"/>
      <c r="AJ97" s="16"/>
      <c r="AK97" s="16"/>
      <c r="AL97" s="16">
        <v>1.01</v>
      </c>
      <c r="AM97" s="16"/>
      <c r="AN97" s="16"/>
      <c r="AO97" s="16"/>
      <c r="AP97" s="24">
        <v>0.17</v>
      </c>
      <c r="AQ97" s="24">
        <v>1750</v>
      </c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>
        <v>-0.5</v>
      </c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>
        <v>-0.5</v>
      </c>
      <c r="BW97" s="16"/>
      <c r="BX97" s="16"/>
      <c r="BY97" s="16"/>
      <c r="BZ97" s="16">
        <v>-0.5</v>
      </c>
      <c r="CA97" s="16"/>
      <c r="CB97" s="16"/>
      <c r="CC97" s="16"/>
      <c r="CD97" s="16">
        <v>-0.5</v>
      </c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>
        <f>200/1000</f>
        <v>0.2</v>
      </c>
      <c r="CQ97" s="16"/>
      <c r="CR97" s="16"/>
      <c r="CS97" s="16"/>
      <c r="CT97" s="16"/>
      <c r="CU97" s="16"/>
      <c r="CV97" s="16"/>
      <c r="CW97" s="16"/>
      <c r="CX97" s="16">
        <f>800/1000</f>
        <v>0.8</v>
      </c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</row>
    <row r="98" spans="1:125" ht="15" customHeight="1" x14ac:dyDescent="0.2">
      <c r="A98" s="10" t="str">
        <f>crop!A98</f>
        <v>+500 kg / cow / year with faba bean and cereals</v>
      </c>
      <c r="B98" s="6" t="str">
        <f>crop!B98</f>
        <v>A.7.4</v>
      </c>
      <c r="C98" s="18"/>
      <c r="D98" s="16"/>
      <c r="E98" s="16"/>
      <c r="F98" s="16"/>
      <c r="G98" s="16"/>
      <c r="H98" s="16"/>
      <c r="I98" s="16"/>
      <c r="J98" s="16"/>
      <c r="K98" s="16"/>
      <c r="L98" s="16"/>
      <c r="M98" s="16">
        <v>1.03</v>
      </c>
      <c r="N98" s="16"/>
      <c r="O98" s="16">
        <v>0.98</v>
      </c>
      <c r="P98" s="16"/>
      <c r="Q98" s="16"/>
      <c r="R98" s="16"/>
      <c r="S98" s="16"/>
      <c r="T98" s="16"/>
      <c r="U98" s="16"/>
      <c r="V98" s="24">
        <v>450</v>
      </c>
      <c r="W98" s="16"/>
      <c r="X98" s="16"/>
      <c r="Y98" s="24">
        <v>0.04</v>
      </c>
      <c r="Z98" s="16">
        <v>0.99</v>
      </c>
      <c r="AA98" s="16"/>
      <c r="AB98" s="16"/>
      <c r="AC98" s="16"/>
      <c r="AD98" s="24">
        <v>0.04</v>
      </c>
      <c r="AE98" s="16"/>
      <c r="AF98" s="16"/>
      <c r="AG98" s="16"/>
      <c r="AH98" s="16"/>
      <c r="AI98" s="16"/>
      <c r="AJ98" s="16"/>
      <c r="AK98" s="16"/>
      <c r="AL98" s="16">
        <v>1.01</v>
      </c>
      <c r="AM98" s="16"/>
      <c r="AN98" s="16"/>
      <c r="AO98" s="16"/>
      <c r="AP98" s="24">
        <v>0.17</v>
      </c>
      <c r="AQ98" s="24">
        <v>1750</v>
      </c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>
        <v>-0.6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>
        <v>-0.6</v>
      </c>
      <c r="BW98" s="16"/>
      <c r="BX98" s="16"/>
      <c r="BY98" s="16"/>
      <c r="BZ98" s="16">
        <v>-0.6</v>
      </c>
      <c r="CA98" s="16"/>
      <c r="CB98" s="16"/>
      <c r="CC98" s="16"/>
      <c r="CD98" s="16">
        <v>-0.6</v>
      </c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>
        <f>400/1000</f>
        <v>0.4</v>
      </c>
      <c r="CU98" s="16"/>
      <c r="CV98" s="16"/>
      <c r="CW98" s="16"/>
      <c r="CX98" s="16">
        <f>800/1000</f>
        <v>0.8</v>
      </c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</row>
    <row r="99" spans="1:125" ht="15" customHeight="1" x14ac:dyDescent="0.2">
      <c r="A99" s="2" t="str">
        <f>crop!A99</f>
        <v>Heifer feeding system: zero grazing / maize silage + soybean meal | Age at first calving: 24 months</v>
      </c>
      <c r="B99" s="1" t="str">
        <f>crop!B99</f>
        <v>A.8.1</v>
      </c>
      <c r="C99" s="18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>
        <v>0</v>
      </c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28">
        <v>0.5</v>
      </c>
      <c r="BE99" s="16"/>
      <c r="BF99" s="16"/>
      <c r="BG99" s="16"/>
      <c r="BH99" s="28">
        <v>0.5</v>
      </c>
      <c r="BI99" s="16"/>
      <c r="BJ99" s="16"/>
      <c r="BK99" s="16">
        <v>3.8</v>
      </c>
      <c r="BL99" s="16"/>
      <c r="BM99" s="16"/>
      <c r="BN99" s="16"/>
      <c r="BO99" s="16">
        <v>0</v>
      </c>
      <c r="BP99" s="16"/>
      <c r="BQ99" s="16"/>
      <c r="BR99" s="16"/>
      <c r="BS99" s="16">
        <v>0</v>
      </c>
      <c r="BT99" s="16"/>
      <c r="BU99" s="16"/>
      <c r="BV99" s="16"/>
      <c r="BW99" s="16">
        <v>0</v>
      </c>
      <c r="BX99" s="16"/>
      <c r="BY99" s="16"/>
      <c r="BZ99" s="16"/>
      <c r="CA99" s="16">
        <v>1.5</v>
      </c>
      <c r="CB99" s="16"/>
      <c r="CC99" s="16"/>
      <c r="CD99" s="16"/>
      <c r="CE99" s="16">
        <v>0</v>
      </c>
      <c r="CF99" s="16"/>
      <c r="CG99" s="16"/>
      <c r="CH99" s="16"/>
      <c r="CI99" s="16">
        <v>0</v>
      </c>
      <c r="CJ99" s="16"/>
      <c r="CK99" s="16"/>
      <c r="CL99" s="16"/>
      <c r="CM99" s="16">
        <v>0</v>
      </c>
      <c r="CN99" s="16"/>
      <c r="CO99" s="16"/>
      <c r="CP99" s="16"/>
      <c r="CQ99" s="16">
        <v>0.83</v>
      </c>
      <c r="CR99" s="16"/>
      <c r="CS99" s="16"/>
      <c r="CT99" s="16"/>
      <c r="CU99" s="16">
        <v>0</v>
      </c>
      <c r="CV99" s="16"/>
      <c r="CW99" s="16"/>
      <c r="CX99" s="16"/>
      <c r="CY99" s="16">
        <v>0.05</v>
      </c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>
        <v>0.2</v>
      </c>
      <c r="DL99" s="16"/>
      <c r="DM99" s="16"/>
      <c r="DN99" s="16"/>
      <c r="DO99" s="16"/>
      <c r="DP99" s="16"/>
      <c r="DQ99" s="28">
        <v>0.5</v>
      </c>
      <c r="DR99" s="16"/>
      <c r="DS99" s="16"/>
      <c r="DT99" s="16"/>
      <c r="DU99" s="28">
        <v>0.5</v>
      </c>
    </row>
    <row r="100" spans="1:125" ht="15" customHeight="1" x14ac:dyDescent="0.2">
      <c r="A100" s="2" t="str">
        <f>crop!A100</f>
        <v>Heifer feeding system: 4 months grazing / 8 months maize silage + hay + soybean meal | Age at first calving: 24 months</v>
      </c>
      <c r="B100" s="1" t="str">
        <f>crop!B100</f>
        <v>A.8.2</v>
      </c>
      <c r="C100" s="18"/>
      <c r="D100" s="16"/>
      <c r="E100" s="16"/>
      <c r="F100" s="16"/>
      <c r="G100" s="16"/>
      <c r="H100" s="16"/>
      <c r="I100" s="16"/>
      <c r="J100" s="16"/>
      <c r="K100" s="16"/>
      <c r="L100" s="16"/>
      <c r="M100" s="16">
        <v>0.98</v>
      </c>
      <c r="N100" s="16">
        <v>1.02</v>
      </c>
      <c r="O100" s="16"/>
      <c r="P100" s="16"/>
      <c r="Q100" s="16">
        <v>0.98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>
        <v>1.55</v>
      </c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>
        <v>0.95</v>
      </c>
      <c r="AN100" s="16"/>
      <c r="AO100" s="16"/>
      <c r="AP100" s="16">
        <v>0.98</v>
      </c>
      <c r="AQ100" s="16"/>
      <c r="AR100" s="16"/>
      <c r="AS100" s="16"/>
      <c r="AT100" s="16"/>
      <c r="AU100" s="16"/>
      <c r="AV100" s="16"/>
      <c r="AW100" s="16"/>
      <c r="AX100" s="16">
        <v>0.79</v>
      </c>
      <c r="AY100" s="16"/>
      <c r="AZ100" s="16"/>
      <c r="BA100" s="16"/>
      <c r="BB100" s="16">
        <v>0.83</v>
      </c>
      <c r="BC100" s="16"/>
      <c r="BD100" s="28">
        <v>0.5</v>
      </c>
      <c r="BE100" s="16"/>
      <c r="BF100" s="16">
        <v>0.83</v>
      </c>
      <c r="BG100" s="16"/>
      <c r="BH100" s="28">
        <v>0.5</v>
      </c>
      <c r="BI100" s="16"/>
      <c r="BJ100" s="16"/>
      <c r="BK100" s="16">
        <v>2.1</v>
      </c>
      <c r="BL100" s="16"/>
      <c r="BM100" s="16"/>
      <c r="BN100" s="16"/>
      <c r="BO100" s="16">
        <v>0</v>
      </c>
      <c r="BP100" s="16"/>
      <c r="BQ100" s="16"/>
      <c r="BR100" s="16"/>
      <c r="BS100" s="16">
        <v>0</v>
      </c>
      <c r="BT100" s="16"/>
      <c r="BU100" s="16"/>
      <c r="BV100" s="16"/>
      <c r="BW100" s="16">
        <v>0</v>
      </c>
      <c r="BX100" s="16"/>
      <c r="BY100" s="16"/>
      <c r="BZ100" s="16"/>
      <c r="CA100" s="16">
        <v>1.5</v>
      </c>
      <c r="CB100" s="16"/>
      <c r="CC100" s="16"/>
      <c r="CD100" s="16"/>
      <c r="CE100" s="16">
        <v>1.4</v>
      </c>
      <c r="CF100" s="16"/>
      <c r="CG100" s="16"/>
      <c r="CH100" s="16"/>
      <c r="CI100" s="16">
        <v>0</v>
      </c>
      <c r="CJ100" s="16"/>
      <c r="CK100" s="16"/>
      <c r="CL100" s="16"/>
      <c r="CM100" s="16">
        <v>0</v>
      </c>
      <c r="CN100" s="16"/>
      <c r="CO100" s="16"/>
      <c r="CP100" s="16"/>
      <c r="CQ100" s="16">
        <v>0.55000000000000004</v>
      </c>
      <c r="CR100" s="16"/>
      <c r="CS100" s="16"/>
      <c r="CT100" s="16"/>
      <c r="CU100" s="16">
        <v>0</v>
      </c>
      <c r="CV100" s="16"/>
      <c r="CW100" s="16"/>
      <c r="CX100" s="16"/>
      <c r="CY100" s="16">
        <v>0.1</v>
      </c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>
        <v>0</v>
      </c>
      <c r="DL100" s="16"/>
      <c r="DM100" s="16"/>
      <c r="DN100" s="16"/>
      <c r="DO100" s="16">
        <v>0.83</v>
      </c>
      <c r="DP100" s="16"/>
      <c r="DQ100" s="28">
        <v>0.5</v>
      </c>
      <c r="DR100" s="16"/>
      <c r="DS100" s="16">
        <v>0.83</v>
      </c>
      <c r="DT100" s="16"/>
      <c r="DU100" s="28">
        <v>0.5</v>
      </c>
    </row>
    <row r="101" spans="1:125" ht="15" customHeight="1" x14ac:dyDescent="0.2">
      <c r="A101" s="2" t="str">
        <f>crop!A101</f>
        <v>Heifer feeding system: 6 months grazing / 6 months maize silage + grass silage (or hay) + soybean meal | Age at first calving: 24 months</v>
      </c>
      <c r="B101" s="1" t="str">
        <f>crop!B101</f>
        <v>A.8.3</v>
      </c>
      <c r="C101" s="18"/>
      <c r="D101" s="16"/>
      <c r="E101" s="16"/>
      <c r="F101" s="16"/>
      <c r="G101" s="16"/>
      <c r="H101" s="16"/>
      <c r="I101" s="16"/>
      <c r="J101" s="16"/>
      <c r="K101" s="16"/>
      <c r="L101" s="16"/>
      <c r="M101" s="16">
        <v>0.97</v>
      </c>
      <c r="N101" s="16">
        <v>1.03</v>
      </c>
      <c r="O101" s="16"/>
      <c r="P101" s="16"/>
      <c r="Q101" s="16">
        <v>0.96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>
        <v>1.82</v>
      </c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>
        <v>0.95</v>
      </c>
      <c r="AN101" s="16"/>
      <c r="AO101" s="16"/>
      <c r="AP101" s="16">
        <v>0.96</v>
      </c>
      <c r="AQ101" s="16"/>
      <c r="AR101" s="16"/>
      <c r="AS101" s="16"/>
      <c r="AT101" s="16"/>
      <c r="AU101" s="16"/>
      <c r="AV101" s="16"/>
      <c r="AW101" s="16"/>
      <c r="AX101" s="16">
        <v>0.68</v>
      </c>
      <c r="AY101" s="16"/>
      <c r="AZ101" s="16"/>
      <c r="BA101" s="16"/>
      <c r="BB101" s="16">
        <v>0.75</v>
      </c>
      <c r="BC101" s="16"/>
      <c r="BD101" s="28">
        <v>0.5</v>
      </c>
      <c r="BE101" s="16"/>
      <c r="BF101" s="16">
        <v>0.75</v>
      </c>
      <c r="BG101" s="16"/>
      <c r="BH101" s="28">
        <v>0.5</v>
      </c>
      <c r="BI101" s="16"/>
      <c r="BJ101" s="16"/>
      <c r="BK101" s="16">
        <v>1.3</v>
      </c>
      <c r="BL101" s="16"/>
      <c r="BM101" s="16"/>
      <c r="BN101" s="16"/>
      <c r="BO101" s="16">
        <v>1.5</v>
      </c>
      <c r="BP101" s="16"/>
      <c r="BQ101" s="16"/>
      <c r="BR101" s="16"/>
      <c r="BS101" s="16">
        <v>0</v>
      </c>
      <c r="BT101" s="16"/>
      <c r="BU101" s="16"/>
      <c r="BV101" s="16"/>
      <c r="BW101" s="16">
        <v>0</v>
      </c>
      <c r="BX101" s="16"/>
      <c r="BY101" s="16"/>
      <c r="BZ101" s="16"/>
      <c r="CA101" s="16">
        <v>0</v>
      </c>
      <c r="CB101" s="16"/>
      <c r="CC101" s="16"/>
      <c r="CD101" s="16"/>
      <c r="CE101" s="16">
        <v>2.1</v>
      </c>
      <c r="CF101" s="16"/>
      <c r="CG101" s="16"/>
      <c r="CH101" s="16"/>
      <c r="CI101" s="16">
        <v>0</v>
      </c>
      <c r="CJ101" s="16"/>
      <c r="CK101" s="16"/>
      <c r="CL101" s="16"/>
      <c r="CM101" s="16">
        <v>0</v>
      </c>
      <c r="CN101" s="16"/>
      <c r="CO101" s="16"/>
      <c r="CP101" s="16"/>
      <c r="CQ101" s="16">
        <v>0.47</v>
      </c>
      <c r="CR101" s="16"/>
      <c r="CS101" s="16"/>
      <c r="CT101" s="16"/>
      <c r="CU101" s="16">
        <v>0</v>
      </c>
      <c r="CV101" s="16"/>
      <c r="CW101" s="16"/>
      <c r="CX101" s="16"/>
      <c r="CY101" s="16">
        <v>0.03</v>
      </c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>
        <v>0</v>
      </c>
      <c r="DL101" s="16"/>
      <c r="DM101" s="16"/>
      <c r="DN101" s="16"/>
      <c r="DO101" s="16">
        <v>0.75</v>
      </c>
      <c r="DP101" s="16"/>
      <c r="DQ101" s="28">
        <v>0.5</v>
      </c>
      <c r="DR101" s="16"/>
      <c r="DS101" s="16">
        <v>0.75</v>
      </c>
      <c r="DT101" s="16"/>
      <c r="DU101" s="28">
        <v>0.5</v>
      </c>
    </row>
    <row r="102" spans="1:125" ht="15" customHeight="1" x14ac:dyDescent="0.2">
      <c r="A102" s="2" t="str">
        <f>crop!A102</f>
        <v>Heifer feeding system: 6 months grazing / 6 months grass silage (or hay) + cereals + soybean meal | Age at first calving: 24 months</v>
      </c>
      <c r="B102" s="1" t="str">
        <f>crop!B102</f>
        <v>A.8.4</v>
      </c>
      <c r="C102" s="18"/>
      <c r="D102" s="16"/>
      <c r="E102" s="16"/>
      <c r="F102" s="16"/>
      <c r="G102" s="16"/>
      <c r="H102" s="16"/>
      <c r="I102" s="16"/>
      <c r="J102" s="16"/>
      <c r="K102" s="16"/>
      <c r="L102" s="16"/>
      <c r="M102" s="16">
        <v>0.97</v>
      </c>
      <c r="N102" s="16">
        <v>1.03</v>
      </c>
      <c r="O102" s="16"/>
      <c r="P102" s="16"/>
      <c r="Q102" s="16">
        <v>0.96</v>
      </c>
      <c r="R102" s="16"/>
      <c r="S102" s="16"/>
      <c r="T102" s="16"/>
      <c r="U102" s="16"/>
      <c r="V102" s="16"/>
      <c r="W102" s="16"/>
      <c r="X102" s="16"/>
      <c r="Y102" s="16"/>
      <c r="Z102" s="16"/>
      <c r="AA102" s="16">
        <v>1.82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>
        <v>0.95</v>
      </c>
      <c r="AN102" s="16"/>
      <c r="AO102" s="16"/>
      <c r="AP102" s="16">
        <v>0.96</v>
      </c>
      <c r="AQ102" s="16"/>
      <c r="AR102" s="16"/>
      <c r="AS102" s="16"/>
      <c r="AT102" s="16"/>
      <c r="AU102" s="16"/>
      <c r="AV102" s="16"/>
      <c r="AW102" s="16"/>
      <c r="AX102" s="16">
        <v>0.68</v>
      </c>
      <c r="AY102" s="16"/>
      <c r="AZ102" s="16"/>
      <c r="BA102" s="16"/>
      <c r="BB102" s="16">
        <v>0.75</v>
      </c>
      <c r="BC102" s="16"/>
      <c r="BD102" s="28">
        <v>0.5</v>
      </c>
      <c r="BE102" s="16"/>
      <c r="BF102" s="16">
        <v>0.75</v>
      </c>
      <c r="BG102" s="16"/>
      <c r="BH102" s="28">
        <v>0.5</v>
      </c>
      <c r="BI102" s="16"/>
      <c r="BJ102" s="16"/>
      <c r="BK102" s="16">
        <v>0</v>
      </c>
      <c r="BL102" s="16"/>
      <c r="BM102" s="16"/>
      <c r="BN102" s="16"/>
      <c r="BO102" s="16">
        <v>2.5</v>
      </c>
      <c r="BP102" s="16"/>
      <c r="BQ102" s="16"/>
      <c r="BR102" s="16"/>
      <c r="BS102" s="16">
        <v>0</v>
      </c>
      <c r="BT102" s="16"/>
      <c r="BU102" s="16"/>
      <c r="BV102" s="16"/>
      <c r="BW102" s="16">
        <v>0</v>
      </c>
      <c r="BX102" s="16"/>
      <c r="BY102" s="16"/>
      <c r="BZ102" s="16"/>
      <c r="CA102" s="16">
        <v>0</v>
      </c>
      <c r="CB102" s="16"/>
      <c r="CC102" s="16"/>
      <c r="CD102" s="16"/>
      <c r="CE102" s="16">
        <v>2.1</v>
      </c>
      <c r="CF102" s="16"/>
      <c r="CG102" s="16"/>
      <c r="CH102" s="16"/>
      <c r="CI102" s="16">
        <v>0</v>
      </c>
      <c r="CJ102" s="16"/>
      <c r="CK102" s="16"/>
      <c r="CL102" s="16"/>
      <c r="CM102" s="16">
        <v>0</v>
      </c>
      <c r="CN102" s="16"/>
      <c r="CO102" s="16"/>
      <c r="CP102" s="16"/>
      <c r="CQ102" s="16">
        <v>0.35</v>
      </c>
      <c r="CR102" s="16"/>
      <c r="CS102" s="16"/>
      <c r="CT102" s="16"/>
      <c r="CU102" s="16">
        <v>0</v>
      </c>
      <c r="CV102" s="16"/>
      <c r="CW102" s="16"/>
      <c r="CX102" s="16"/>
      <c r="CY102" s="16">
        <v>0.38</v>
      </c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>
        <v>0</v>
      </c>
      <c r="DL102" s="16"/>
      <c r="DM102" s="16"/>
      <c r="DN102" s="16"/>
      <c r="DO102" s="16">
        <v>0.75</v>
      </c>
      <c r="DP102" s="16"/>
      <c r="DQ102" s="28">
        <v>0.5</v>
      </c>
      <c r="DR102" s="16"/>
      <c r="DS102" s="16">
        <v>0.75</v>
      </c>
      <c r="DT102" s="16"/>
      <c r="DU102" s="28">
        <v>0.5</v>
      </c>
    </row>
    <row r="103" spans="1:125" ht="15" customHeight="1" x14ac:dyDescent="0.2">
      <c r="A103" s="2" t="str">
        <f>crop!A103</f>
        <v>Heifer feeding system: zero grazing / maize silage + soybean meal | Age at first calving: 29 months</v>
      </c>
      <c r="B103" s="1" t="str">
        <f>crop!B103</f>
        <v>A.8.5</v>
      </c>
      <c r="C103" s="18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>
        <v>0.95</v>
      </c>
      <c r="O103" s="16"/>
      <c r="P103" s="16"/>
      <c r="Q103" s="16"/>
      <c r="R103" s="16"/>
      <c r="S103" s="16"/>
      <c r="T103" s="16"/>
      <c r="U103" s="16"/>
      <c r="V103" s="16">
        <v>0.98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>
        <v>0</v>
      </c>
      <c r="AJ103" s="16"/>
      <c r="AK103" s="16"/>
      <c r="AL103" s="16"/>
      <c r="AM103" s="16"/>
      <c r="AN103" s="16"/>
      <c r="AO103" s="16"/>
      <c r="AP103" s="16">
        <v>1.01</v>
      </c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28">
        <v>0.5</v>
      </c>
      <c r="BE103" s="16"/>
      <c r="BF103" s="16"/>
      <c r="BG103" s="16"/>
      <c r="BH103" s="28">
        <v>0.5</v>
      </c>
      <c r="BI103" s="16"/>
      <c r="BJ103" s="16"/>
      <c r="BK103" s="16">
        <v>4.2</v>
      </c>
      <c r="BL103" s="16"/>
      <c r="BM103" s="16"/>
      <c r="BN103" s="16"/>
      <c r="BO103" s="16">
        <v>0</v>
      </c>
      <c r="BP103" s="16"/>
      <c r="BQ103" s="16"/>
      <c r="BR103" s="16"/>
      <c r="BS103" s="16">
        <v>0</v>
      </c>
      <c r="BT103" s="16"/>
      <c r="BU103" s="16"/>
      <c r="BV103" s="16"/>
      <c r="BW103" s="16">
        <v>0</v>
      </c>
      <c r="BX103" s="16"/>
      <c r="BY103" s="16"/>
      <c r="BZ103" s="16"/>
      <c r="CA103" s="16">
        <v>1.2</v>
      </c>
      <c r="CB103" s="16"/>
      <c r="CC103" s="16"/>
      <c r="CD103" s="16"/>
      <c r="CE103" s="16">
        <v>0</v>
      </c>
      <c r="CF103" s="16"/>
      <c r="CG103" s="16"/>
      <c r="CH103" s="16"/>
      <c r="CI103" s="16">
        <v>0</v>
      </c>
      <c r="CJ103" s="16"/>
      <c r="CK103" s="16"/>
      <c r="CL103" s="16"/>
      <c r="CM103" s="16">
        <v>0</v>
      </c>
      <c r="CN103" s="16"/>
      <c r="CO103" s="16"/>
      <c r="CP103" s="16"/>
      <c r="CQ103" s="16">
        <v>0.75</v>
      </c>
      <c r="CR103" s="16"/>
      <c r="CS103" s="16"/>
      <c r="CT103" s="16"/>
      <c r="CU103" s="16">
        <v>0</v>
      </c>
      <c r="CV103" s="16"/>
      <c r="CW103" s="16"/>
      <c r="CX103" s="16"/>
      <c r="CY103" s="16">
        <v>0.1</v>
      </c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>
        <v>0.5</v>
      </c>
      <c r="DL103" s="16"/>
      <c r="DM103" s="16"/>
      <c r="DN103" s="16"/>
      <c r="DO103" s="16"/>
      <c r="DP103" s="16"/>
      <c r="DQ103" s="28">
        <v>0.5</v>
      </c>
      <c r="DR103" s="16"/>
      <c r="DS103" s="16"/>
      <c r="DT103" s="16"/>
      <c r="DU103" s="28">
        <v>0.5</v>
      </c>
    </row>
    <row r="104" spans="1:125" ht="15" customHeight="1" x14ac:dyDescent="0.2">
      <c r="A104" s="2" t="str">
        <f>crop!A104</f>
        <v>Heifer feeding system: 4 months grazing / 8 months maize silage + hay + soybean meal | Age at first calving: 29 months</v>
      </c>
      <c r="B104" s="1" t="str">
        <f>crop!B104</f>
        <v>A.8.6</v>
      </c>
      <c r="C104" s="18"/>
      <c r="D104" s="16"/>
      <c r="E104" s="16"/>
      <c r="F104" s="16"/>
      <c r="G104" s="16"/>
      <c r="H104" s="16"/>
      <c r="I104" s="16"/>
      <c r="J104" s="16"/>
      <c r="K104" s="16"/>
      <c r="L104" s="16"/>
      <c r="M104" s="16">
        <v>0.98</v>
      </c>
      <c r="N104" s="16">
        <v>0.97</v>
      </c>
      <c r="O104" s="16"/>
      <c r="P104" s="16"/>
      <c r="Q104" s="16">
        <v>0.98</v>
      </c>
      <c r="R104" s="16"/>
      <c r="S104" s="16"/>
      <c r="T104" s="16"/>
      <c r="U104" s="16"/>
      <c r="V104" s="16">
        <v>0.98</v>
      </c>
      <c r="W104" s="16"/>
      <c r="X104" s="16"/>
      <c r="Y104" s="16"/>
      <c r="Z104" s="16"/>
      <c r="AA104" s="16">
        <v>1.55</v>
      </c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>
        <v>0.95</v>
      </c>
      <c r="AN104" s="16"/>
      <c r="AO104" s="16"/>
      <c r="AP104" s="16">
        <v>0.99</v>
      </c>
      <c r="AQ104" s="16"/>
      <c r="AR104" s="16"/>
      <c r="AS104" s="16"/>
      <c r="AT104" s="16"/>
      <c r="AU104" s="16"/>
      <c r="AV104" s="16"/>
      <c r="AW104" s="16"/>
      <c r="AX104" s="16">
        <v>0.79</v>
      </c>
      <c r="AY104" s="16"/>
      <c r="AZ104" s="16"/>
      <c r="BA104" s="16"/>
      <c r="BB104" s="16">
        <v>0.83</v>
      </c>
      <c r="BC104" s="16"/>
      <c r="BD104" s="28">
        <v>0.5</v>
      </c>
      <c r="BE104" s="16"/>
      <c r="BF104" s="16">
        <v>0.83</v>
      </c>
      <c r="BG104" s="16"/>
      <c r="BH104" s="28">
        <v>0.5</v>
      </c>
      <c r="BI104" s="16"/>
      <c r="BJ104" s="16"/>
      <c r="BK104" s="16">
        <v>2.7</v>
      </c>
      <c r="BL104" s="16"/>
      <c r="BM104" s="16"/>
      <c r="BN104" s="16"/>
      <c r="BO104" s="16">
        <v>0</v>
      </c>
      <c r="BP104" s="16"/>
      <c r="BQ104" s="16"/>
      <c r="BR104" s="16"/>
      <c r="BS104" s="16">
        <v>0</v>
      </c>
      <c r="BT104" s="16"/>
      <c r="BU104" s="16"/>
      <c r="BV104" s="16"/>
      <c r="BW104" s="16">
        <v>0</v>
      </c>
      <c r="BX104" s="16"/>
      <c r="BY104" s="16"/>
      <c r="BZ104" s="16"/>
      <c r="CA104" s="16">
        <v>1.6</v>
      </c>
      <c r="CB104" s="16"/>
      <c r="CC104" s="16"/>
      <c r="CD104" s="16"/>
      <c r="CE104" s="16">
        <v>1.7</v>
      </c>
      <c r="CF104" s="16"/>
      <c r="CG104" s="16"/>
      <c r="CH104" s="16"/>
      <c r="CI104" s="16">
        <v>0</v>
      </c>
      <c r="CJ104" s="16"/>
      <c r="CK104" s="16"/>
      <c r="CL104" s="16"/>
      <c r="CM104" s="16">
        <v>0</v>
      </c>
      <c r="CN104" s="16"/>
      <c r="CO104" s="16"/>
      <c r="CP104" s="16"/>
      <c r="CQ104" s="16">
        <v>0.4</v>
      </c>
      <c r="CR104" s="16"/>
      <c r="CS104" s="16"/>
      <c r="CT104" s="16"/>
      <c r="CU104" s="16">
        <v>0</v>
      </c>
      <c r="CV104" s="16"/>
      <c r="CW104" s="16"/>
      <c r="CX104" s="16"/>
      <c r="CY104" s="16">
        <v>0.1</v>
      </c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>
        <v>0</v>
      </c>
      <c r="DL104" s="16"/>
      <c r="DM104" s="16"/>
      <c r="DN104" s="16"/>
      <c r="DO104" s="16">
        <v>0.83</v>
      </c>
      <c r="DP104" s="16"/>
      <c r="DQ104" s="28">
        <v>0.5</v>
      </c>
      <c r="DR104" s="16"/>
      <c r="DS104" s="16">
        <v>0.83</v>
      </c>
      <c r="DT104" s="16"/>
      <c r="DU104" s="28">
        <v>0.5</v>
      </c>
    </row>
    <row r="105" spans="1:125" ht="15" customHeight="1" x14ac:dyDescent="0.2">
      <c r="A105" s="2" t="str">
        <f>crop!A105</f>
        <v>Heifer feeding system: 6 months grazing / 6 months maize silage + grass silage (or hay) + soybean meal | Age at first calving: 29 months</v>
      </c>
      <c r="B105" s="1" t="str">
        <f>crop!B105</f>
        <v>A.8.7</v>
      </c>
      <c r="C105" s="18"/>
      <c r="D105" s="16"/>
      <c r="E105" s="16"/>
      <c r="F105" s="16"/>
      <c r="G105" s="16"/>
      <c r="H105" s="16"/>
      <c r="I105" s="16"/>
      <c r="J105" s="16"/>
      <c r="K105" s="16"/>
      <c r="L105" s="16"/>
      <c r="M105" s="16">
        <v>0.97</v>
      </c>
      <c r="N105" s="16">
        <v>0.98</v>
      </c>
      <c r="O105" s="16"/>
      <c r="P105" s="16"/>
      <c r="Q105" s="16">
        <v>0.96</v>
      </c>
      <c r="R105" s="16"/>
      <c r="S105" s="16"/>
      <c r="T105" s="16"/>
      <c r="U105" s="16"/>
      <c r="V105" s="16">
        <v>0.98</v>
      </c>
      <c r="W105" s="16"/>
      <c r="X105" s="16"/>
      <c r="Y105" s="16"/>
      <c r="Z105" s="16"/>
      <c r="AA105" s="16">
        <v>1.82</v>
      </c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>
        <v>0.95</v>
      </c>
      <c r="AN105" s="16"/>
      <c r="AO105" s="16"/>
      <c r="AP105" s="16">
        <v>0.97</v>
      </c>
      <c r="AQ105" s="16"/>
      <c r="AR105" s="16"/>
      <c r="AS105" s="16"/>
      <c r="AT105" s="16"/>
      <c r="AU105" s="16"/>
      <c r="AV105" s="16"/>
      <c r="AW105" s="16"/>
      <c r="AX105" s="16">
        <v>0.68</v>
      </c>
      <c r="AY105" s="16"/>
      <c r="AZ105" s="16"/>
      <c r="BA105" s="16"/>
      <c r="BB105" s="16">
        <v>0.75</v>
      </c>
      <c r="BC105" s="16"/>
      <c r="BD105" s="28">
        <v>0.5</v>
      </c>
      <c r="BE105" s="16"/>
      <c r="BF105" s="16">
        <v>0.75</v>
      </c>
      <c r="BG105" s="16"/>
      <c r="BH105" s="28">
        <v>0.5</v>
      </c>
      <c r="BI105" s="16"/>
      <c r="BJ105" s="16"/>
      <c r="BK105" s="16">
        <v>1.7</v>
      </c>
      <c r="BL105" s="16"/>
      <c r="BM105" s="16"/>
      <c r="BN105" s="16"/>
      <c r="BO105" s="16">
        <v>1.6</v>
      </c>
      <c r="BP105" s="16"/>
      <c r="BQ105" s="16"/>
      <c r="BR105" s="16"/>
      <c r="BS105" s="16">
        <v>0</v>
      </c>
      <c r="BT105" s="16"/>
      <c r="BU105" s="16"/>
      <c r="BV105" s="16"/>
      <c r="BW105" s="16">
        <v>0</v>
      </c>
      <c r="BX105" s="16"/>
      <c r="BY105" s="16"/>
      <c r="BZ105" s="16"/>
      <c r="CA105" s="16">
        <v>0</v>
      </c>
      <c r="CB105" s="16"/>
      <c r="CC105" s="16"/>
      <c r="CD105" s="16"/>
      <c r="CE105" s="16">
        <v>2.6</v>
      </c>
      <c r="CF105" s="16"/>
      <c r="CG105" s="16"/>
      <c r="CH105" s="16"/>
      <c r="CI105" s="16">
        <v>0</v>
      </c>
      <c r="CJ105" s="16"/>
      <c r="CK105" s="16"/>
      <c r="CL105" s="16"/>
      <c r="CM105" s="16">
        <v>0</v>
      </c>
      <c r="CN105" s="16"/>
      <c r="CO105" s="16"/>
      <c r="CP105" s="16"/>
      <c r="CQ105" s="16">
        <v>0.25</v>
      </c>
      <c r="CR105" s="16"/>
      <c r="CS105" s="16"/>
      <c r="CT105" s="16"/>
      <c r="CU105" s="16">
        <v>0</v>
      </c>
      <c r="CV105" s="16"/>
      <c r="CW105" s="16"/>
      <c r="CX105" s="16"/>
      <c r="CY105" s="16">
        <v>0.1</v>
      </c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>
        <v>0</v>
      </c>
      <c r="DL105" s="16"/>
      <c r="DM105" s="16"/>
      <c r="DN105" s="16"/>
      <c r="DO105" s="16">
        <v>0.75</v>
      </c>
      <c r="DP105" s="16"/>
      <c r="DQ105" s="28">
        <v>0.5</v>
      </c>
      <c r="DR105" s="16"/>
      <c r="DS105" s="16">
        <v>0.75</v>
      </c>
      <c r="DT105" s="16"/>
      <c r="DU105" s="28">
        <v>0.5</v>
      </c>
    </row>
    <row r="106" spans="1:125" ht="15" customHeight="1" x14ac:dyDescent="0.2">
      <c r="A106" s="10" t="str">
        <f>crop!A106</f>
        <v>Heifer feeding system: 6 months grazing / 6 months grass silage (or hay) + cereals + soybean meal | Age at first calving: 29 months</v>
      </c>
      <c r="B106" s="6" t="str">
        <f>crop!B106</f>
        <v>A.8.8</v>
      </c>
      <c r="C106" s="18"/>
      <c r="D106" s="17"/>
      <c r="E106" s="17"/>
      <c r="F106" s="17"/>
      <c r="G106" s="17"/>
      <c r="H106" s="17"/>
      <c r="I106" s="17"/>
      <c r="J106" s="17"/>
      <c r="K106" s="17"/>
      <c r="L106" s="17"/>
      <c r="M106" s="16">
        <v>0.97</v>
      </c>
      <c r="N106" s="16">
        <v>0.98</v>
      </c>
      <c r="O106" s="16"/>
      <c r="P106" s="16"/>
      <c r="Q106" s="16">
        <v>0.96</v>
      </c>
      <c r="R106" s="17"/>
      <c r="S106" s="17"/>
      <c r="T106" s="17"/>
      <c r="U106" s="17"/>
      <c r="V106" s="17">
        <v>0.98</v>
      </c>
      <c r="W106" s="17"/>
      <c r="X106" s="17"/>
      <c r="Y106" s="17"/>
      <c r="Z106" s="17"/>
      <c r="AA106" s="16">
        <v>1.82</v>
      </c>
      <c r="AB106" s="17"/>
      <c r="AC106" s="17"/>
      <c r="AD106" s="17"/>
      <c r="AE106" s="17"/>
      <c r="AF106" s="17"/>
      <c r="AG106" s="17"/>
      <c r="AH106" s="17"/>
      <c r="AI106" s="16"/>
      <c r="AJ106" s="17"/>
      <c r="AK106" s="17"/>
      <c r="AL106" s="17"/>
      <c r="AM106" s="16">
        <v>0.95</v>
      </c>
      <c r="AN106" s="17"/>
      <c r="AO106" s="17"/>
      <c r="AP106" s="17">
        <v>0.97</v>
      </c>
      <c r="AQ106" s="17"/>
      <c r="AR106" s="16"/>
      <c r="AS106" s="16"/>
      <c r="AT106" s="17"/>
      <c r="AU106" s="17"/>
      <c r="AV106" s="17"/>
      <c r="AW106" s="17"/>
      <c r="AX106" s="17">
        <v>0.68</v>
      </c>
      <c r="AY106" s="16"/>
      <c r="AZ106" s="16"/>
      <c r="BA106" s="16"/>
      <c r="BB106" s="17">
        <v>0.75</v>
      </c>
      <c r="BC106" s="17"/>
      <c r="BD106" s="28">
        <v>0.5</v>
      </c>
      <c r="BE106" s="17"/>
      <c r="BF106" s="17">
        <v>0.75</v>
      </c>
      <c r="BG106" s="17"/>
      <c r="BH106" s="28">
        <v>0.5</v>
      </c>
      <c r="BI106" s="16"/>
      <c r="BJ106" s="17"/>
      <c r="BK106" s="16">
        <v>0</v>
      </c>
      <c r="BL106" s="17"/>
      <c r="BM106" s="17"/>
      <c r="BN106" s="17"/>
      <c r="BO106" s="16">
        <v>3</v>
      </c>
      <c r="BP106" s="17"/>
      <c r="BQ106" s="17"/>
      <c r="BR106" s="17"/>
      <c r="BS106" s="16">
        <v>0</v>
      </c>
      <c r="BT106" s="17"/>
      <c r="BU106" s="17"/>
      <c r="BV106" s="17"/>
      <c r="BW106" s="16">
        <v>0</v>
      </c>
      <c r="BX106" s="17"/>
      <c r="BY106" s="17"/>
      <c r="BZ106" s="17"/>
      <c r="CA106" s="16">
        <v>0</v>
      </c>
      <c r="CB106" s="17"/>
      <c r="CC106" s="17"/>
      <c r="CD106" s="17"/>
      <c r="CE106" s="16">
        <v>2.6</v>
      </c>
      <c r="CF106" s="17"/>
      <c r="CG106" s="17"/>
      <c r="CH106" s="17"/>
      <c r="CI106" s="16">
        <v>0</v>
      </c>
      <c r="CJ106" s="17"/>
      <c r="CK106" s="17"/>
      <c r="CL106" s="17"/>
      <c r="CM106" s="16">
        <v>0</v>
      </c>
      <c r="CN106" s="17"/>
      <c r="CO106" s="17"/>
      <c r="CP106" s="17"/>
      <c r="CQ106" s="17">
        <v>0.13</v>
      </c>
      <c r="CR106" s="17"/>
      <c r="CS106" s="17"/>
      <c r="CT106" s="17"/>
      <c r="CU106" s="16">
        <v>0</v>
      </c>
      <c r="CV106" s="17"/>
      <c r="CW106" s="17"/>
      <c r="CX106" s="17"/>
      <c r="CY106" s="16">
        <v>0.3</v>
      </c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6">
        <v>0</v>
      </c>
      <c r="DL106" s="17"/>
      <c r="DM106" s="17"/>
      <c r="DN106" s="16"/>
      <c r="DO106" s="17">
        <v>0.75</v>
      </c>
      <c r="DP106" s="17"/>
      <c r="DQ106" s="28">
        <v>0.5</v>
      </c>
      <c r="DR106" s="17"/>
      <c r="DS106" s="17">
        <v>0.75</v>
      </c>
      <c r="DT106" s="17"/>
      <c r="DU106" s="28">
        <v>0.5</v>
      </c>
    </row>
    <row r="107" spans="1:125" ht="15" customHeight="1" x14ac:dyDescent="0.2">
      <c r="A107" s="2" t="str">
        <f>crop!A107</f>
        <v>Systematic antibiotic treatment of cows</v>
      </c>
      <c r="B107" s="1" t="str">
        <f>crop!B107</f>
        <v>A.9.1</v>
      </c>
      <c r="C107" s="18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</row>
    <row r="108" spans="1:125" ht="15" customHeight="1" x14ac:dyDescent="0.2">
      <c r="A108" s="2" t="str">
        <f>crop!A108</f>
        <v>Selective antibiotic treatment of cows</v>
      </c>
      <c r="B108" s="1" t="str">
        <f>crop!B108</f>
        <v>A.9.2</v>
      </c>
      <c r="C108" s="18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>
        <v>0.99</v>
      </c>
      <c r="W108" s="16"/>
      <c r="X108" s="16"/>
      <c r="Y108" s="16">
        <v>1.1200000000000001</v>
      </c>
      <c r="Z108" s="16"/>
      <c r="AA108" s="16"/>
      <c r="AB108" s="16"/>
      <c r="AC108" s="16"/>
      <c r="AD108" s="16">
        <v>0.77</v>
      </c>
      <c r="AE108" s="16"/>
      <c r="AF108" s="16"/>
      <c r="AG108" s="16"/>
      <c r="AH108" s="16"/>
      <c r="AI108" s="16"/>
      <c r="AJ108" s="16"/>
      <c r="AK108" s="16"/>
      <c r="AL108" s="16">
        <v>0.82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</row>
    <row r="109" spans="1:125" ht="15" customHeight="1" x14ac:dyDescent="0.2">
      <c r="A109" s="10" t="str">
        <f>crop!A109</f>
        <v>Preventive measures of hygiene of the housing conditions (no treatment of cows)</v>
      </c>
      <c r="B109" s="6" t="str">
        <f>crop!B109</f>
        <v>A.9.3</v>
      </c>
      <c r="C109" s="18"/>
      <c r="D109" s="16"/>
      <c r="E109" s="16"/>
      <c r="F109" s="16"/>
      <c r="G109" s="16"/>
      <c r="H109" s="16"/>
      <c r="I109" s="16"/>
      <c r="J109" s="16"/>
      <c r="K109" s="16"/>
      <c r="L109" s="16"/>
      <c r="M109" s="16">
        <v>1.05</v>
      </c>
      <c r="N109" s="16"/>
      <c r="O109" s="16"/>
      <c r="P109" s="16"/>
      <c r="Q109" s="16"/>
      <c r="R109" s="16"/>
      <c r="S109" s="16"/>
      <c r="T109" s="16"/>
      <c r="U109" s="16"/>
      <c r="V109" s="16">
        <v>0.98</v>
      </c>
      <c r="W109" s="16"/>
      <c r="X109" s="16"/>
      <c r="Y109" s="16">
        <v>1.1599999999999999</v>
      </c>
      <c r="Z109" s="16">
        <v>0.98</v>
      </c>
      <c r="AA109" s="16"/>
      <c r="AB109" s="16"/>
      <c r="AC109" s="16"/>
      <c r="AD109" s="16">
        <v>0.7</v>
      </c>
      <c r="AE109" s="16"/>
      <c r="AF109" s="16"/>
      <c r="AG109" s="16"/>
      <c r="AH109" s="16"/>
      <c r="AI109" s="16"/>
      <c r="AJ109" s="16"/>
      <c r="AK109" s="16"/>
      <c r="AL109" s="16">
        <v>0.77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</row>
    <row r="110" spans="1:125" ht="15" customHeight="1" x14ac:dyDescent="0.2">
      <c r="A110" s="2" t="str">
        <f>crop!A110</f>
        <v>Systematic anti-parasitic treatment of heifers</v>
      </c>
      <c r="B110" s="1" t="str">
        <f>crop!B110</f>
        <v>A.10.1</v>
      </c>
      <c r="C110" s="18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</row>
    <row r="111" spans="1:125" ht="15" customHeight="1" x14ac:dyDescent="0.2">
      <c r="A111" s="2" t="str">
        <f>crop!A111</f>
        <v>Selective/targeted treatment of heifers shedding high amounts of parasites</v>
      </c>
      <c r="B111" s="1" t="str">
        <f>crop!B111</f>
        <v>A.10.2</v>
      </c>
      <c r="C111" s="18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>
        <v>0.25</v>
      </c>
      <c r="AJ111" s="16"/>
      <c r="AK111" s="16"/>
      <c r="AL111" s="16"/>
      <c r="AM111" s="16">
        <v>0.25</v>
      </c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</row>
    <row r="112" spans="1:125" ht="15" customHeight="1" x14ac:dyDescent="0.2">
      <c r="A112" s="10" t="str">
        <f>crop!A112</f>
        <v>Immunization against internal parasites by low exposure grazing of heifers (no treatment)</v>
      </c>
      <c r="B112" s="6" t="str">
        <f>crop!B112</f>
        <v>A.10.3</v>
      </c>
      <c r="C112" s="18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>
        <v>0.95</v>
      </c>
      <c r="AB112" s="16"/>
      <c r="AC112" s="16"/>
      <c r="AD112" s="16"/>
      <c r="AE112" s="16"/>
      <c r="AF112" s="16"/>
      <c r="AG112" s="16"/>
      <c r="AH112" s="16"/>
      <c r="AI112" s="16">
        <v>0</v>
      </c>
      <c r="AJ112" s="16"/>
      <c r="AK112" s="16"/>
      <c r="AL112" s="16"/>
      <c r="AM112" s="16">
        <v>0</v>
      </c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>
        <v>1.04</v>
      </c>
      <c r="BL112" s="16"/>
      <c r="BM112" s="16"/>
      <c r="BN112" s="16"/>
      <c r="BO112" s="16">
        <v>1.04</v>
      </c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>
        <v>1.03</v>
      </c>
      <c r="CB112" s="16"/>
      <c r="CC112" s="16"/>
      <c r="CD112" s="16"/>
      <c r="CE112" s="16">
        <v>1.03</v>
      </c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>
        <v>1.03</v>
      </c>
      <c r="CR112" s="16"/>
      <c r="CS112" s="16"/>
      <c r="CT112" s="16"/>
      <c r="CU112" s="16"/>
      <c r="CV112" s="16"/>
      <c r="CW112" s="16"/>
      <c r="CX112" s="16"/>
      <c r="CY112" s="16">
        <v>1.03</v>
      </c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>
        <v>1.03</v>
      </c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</row>
    <row r="113" spans="1:125" ht="15" customHeight="1" x14ac:dyDescent="0.2">
      <c r="A113" s="2" t="str">
        <f>crop!A113</f>
        <v>Milk replacer is fed to calves</v>
      </c>
      <c r="B113" s="1" t="str">
        <f>crop!B113</f>
        <v>A.11.1</v>
      </c>
      <c r="C113" s="18"/>
      <c r="D113" s="16"/>
      <c r="E113" s="16"/>
      <c r="F113" s="16"/>
      <c r="G113" s="16"/>
      <c r="H113" s="16"/>
      <c r="I113" s="16"/>
      <c r="J113" s="16"/>
      <c r="K113" s="16"/>
      <c r="L113" s="16"/>
      <c r="M113" s="16">
        <v>1.05</v>
      </c>
      <c r="N113" s="16">
        <v>0.95</v>
      </c>
      <c r="O113" s="16">
        <v>1.05</v>
      </c>
      <c r="P113" s="16">
        <v>1.05</v>
      </c>
      <c r="Q113" s="16">
        <v>1.03</v>
      </c>
      <c r="R113" s="16"/>
      <c r="S113" s="16">
        <v>0.98</v>
      </c>
      <c r="T113" s="16"/>
      <c r="U113" s="16"/>
      <c r="V113" s="16">
        <v>0.95</v>
      </c>
      <c r="W113" s="16">
        <v>0.97</v>
      </c>
      <c r="X113" s="16">
        <v>0.95</v>
      </c>
      <c r="Y113" s="16">
        <v>1.03</v>
      </c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>
        <v>0</v>
      </c>
      <c r="DC113" s="16">
        <v>1</v>
      </c>
      <c r="DD113" s="16">
        <v>1</v>
      </c>
      <c r="DE113" s="16">
        <v>1</v>
      </c>
      <c r="DF113" s="16">
        <v>0</v>
      </c>
      <c r="DG113" s="16">
        <v>0</v>
      </c>
      <c r="DH113" s="16">
        <v>0</v>
      </c>
      <c r="DI113" s="16">
        <v>0</v>
      </c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</row>
    <row r="114" spans="1:125" ht="15" customHeight="1" x14ac:dyDescent="0.2">
      <c r="A114" s="10" t="str">
        <f>crop!A114</f>
        <v>Milk is fed to calves</v>
      </c>
      <c r="B114" s="6" t="str">
        <f>crop!B114</f>
        <v>A.11.2</v>
      </c>
      <c r="C114" s="18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>
        <v>0</v>
      </c>
      <c r="DC114" s="16">
        <v>0</v>
      </c>
      <c r="DD114" s="16">
        <v>0</v>
      </c>
      <c r="DE114" s="16">
        <v>0</v>
      </c>
      <c r="DF114" s="16">
        <v>0</v>
      </c>
      <c r="DG114" s="16">
        <v>1</v>
      </c>
      <c r="DH114" s="16">
        <v>1</v>
      </c>
      <c r="DI114" s="16">
        <v>1</v>
      </c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</row>
    <row r="115" spans="1:125" ht="15" customHeight="1" x14ac:dyDescent="0.2">
      <c r="H115" s="3"/>
      <c r="R115" s="3"/>
      <c r="S115" s="3"/>
    </row>
    <row r="116" spans="1:125" ht="15" customHeight="1" x14ac:dyDescent="0.2">
      <c r="A116" s="7" t="str">
        <f>crop!A116</f>
        <v>CS #1: maize - wheat - barley</v>
      </c>
      <c r="B116" s="7" t="str">
        <f>crop!B116</f>
        <v>C.12.1.be</v>
      </c>
      <c r="H116" s="3"/>
      <c r="R116" s="3"/>
      <c r="S116" s="3"/>
    </row>
    <row r="117" spans="1:125" ht="15" customHeight="1" x14ac:dyDescent="0.2">
      <c r="A117" s="4" t="str">
        <f>crop!A117</f>
        <v>CS #1: sugar beet - wheat - potato - wheat</v>
      </c>
      <c r="B117" s="4" t="str">
        <f>crop!B117</f>
        <v>C.12.2.be</v>
      </c>
    </row>
    <row r="118" spans="1:125" ht="15" customHeight="1" x14ac:dyDescent="0.2">
      <c r="A118" s="4" t="str">
        <f>crop!A118</f>
        <v>CS #1: potato - wheat - rapeseed - wheat</v>
      </c>
      <c r="B118" s="4" t="str">
        <f>crop!B118</f>
        <v>C.12.3.be</v>
      </c>
    </row>
    <row r="119" spans="1:125" ht="15" customHeight="1" x14ac:dyDescent="0.2">
      <c r="A119" s="4" t="str">
        <f>crop!A119</f>
        <v>CS #1: alfalfa (3 years) - maize - wheat</v>
      </c>
      <c r="B119" s="4" t="str">
        <f>crop!B119</f>
        <v>C.12.4.be</v>
      </c>
    </row>
    <row r="120" spans="1:125" ht="15" customHeight="1" x14ac:dyDescent="0.2">
      <c r="A120" s="4" t="str">
        <f>crop!A120</f>
        <v>CS #1: potato - wheat - rapeseed - faba bean - wheat</v>
      </c>
      <c r="B120" s="4" t="str">
        <f>crop!B120</f>
        <v>C.12.5.be</v>
      </c>
    </row>
    <row r="121" spans="1:125" ht="15" customHeight="1" x14ac:dyDescent="0.2">
      <c r="A121" s="4" t="str">
        <f>crop!A121</f>
        <v>CS #1: grassland (3 years) - maize - wheat</v>
      </c>
      <c r="B121" s="4" t="str">
        <f>crop!B121</f>
        <v>C.12.6.be</v>
      </c>
    </row>
    <row r="122" spans="1:125" ht="15" customHeight="1" x14ac:dyDescent="0.2">
      <c r="A122" s="4" t="str">
        <f>crop!A122</f>
        <v>CS #1: grassland (3 years) - wheat - sugar beet - wheat</v>
      </c>
      <c r="B122" s="4" t="str">
        <f>crop!B122</f>
        <v>C.12.7.be</v>
      </c>
    </row>
    <row r="123" spans="1:125" ht="15" customHeight="1" x14ac:dyDescent="0.2">
      <c r="A123" s="4" t="str">
        <f>crop!A123</f>
        <v>CS #1: alfalfa (3 years) - maize - wheat - sugar beet - wheat - barley</v>
      </c>
      <c r="B123" s="4" t="str">
        <f>crop!B123</f>
        <v>C.12.8.be</v>
      </c>
    </row>
    <row r="124" spans="1:125" ht="15" customHeight="1" x14ac:dyDescent="0.2">
      <c r="A124" s="4" t="str">
        <f>crop!A124</f>
        <v>CS #1: grassland (3 years) - maize - wheat - faba bean - wheat - rapeseed - wheat</v>
      </c>
      <c r="B124" s="4" t="str">
        <f>crop!B124</f>
        <v>C.12.9.be</v>
      </c>
    </row>
    <row r="125" spans="1:125" ht="15" customHeight="1" x14ac:dyDescent="0.2">
      <c r="A125" s="4" t="str">
        <f>crop!A125</f>
        <v>CS #2: maize - wheat - barley</v>
      </c>
      <c r="B125" s="4" t="str">
        <f>crop!B125</f>
        <v>C.13.1.be</v>
      </c>
    </row>
    <row r="126" spans="1:125" ht="15" customHeight="1" x14ac:dyDescent="0.2">
      <c r="A126" s="4" t="str">
        <f>crop!A126</f>
        <v>CS #2: sugar beet - wheat - potato - wheat</v>
      </c>
      <c r="B126" s="4" t="str">
        <f>crop!B126</f>
        <v>C.13.2.be</v>
      </c>
    </row>
    <row r="127" spans="1:125" ht="15" customHeight="1" x14ac:dyDescent="0.2">
      <c r="A127" s="4" t="str">
        <f>crop!A127</f>
        <v>CS #2: potato - wheat - rapeseed - wheat</v>
      </c>
      <c r="B127" s="4" t="str">
        <f>crop!B127</f>
        <v>C.13.3.be</v>
      </c>
    </row>
    <row r="128" spans="1:125" ht="15" customHeight="1" x14ac:dyDescent="0.2">
      <c r="A128" s="4" t="str">
        <f>crop!A128</f>
        <v>CS #2: alfalfa (3 years) - maize - wheat</v>
      </c>
      <c r="B128" s="4" t="str">
        <f>crop!B128</f>
        <v>C.13.4.be</v>
      </c>
    </row>
    <row r="129" spans="1:2" ht="15" customHeight="1" x14ac:dyDescent="0.2">
      <c r="A129" s="4" t="str">
        <f>crop!A129</f>
        <v>CS #2: potato - wheat - rapeseed - faba bean - wheat</v>
      </c>
      <c r="B129" s="4" t="str">
        <f>crop!B129</f>
        <v>C.13.5.be</v>
      </c>
    </row>
    <row r="130" spans="1:2" ht="15" customHeight="1" x14ac:dyDescent="0.2">
      <c r="A130" s="4" t="str">
        <f>crop!A130</f>
        <v>CS #2: grassland (3 years) - maize - wheat</v>
      </c>
      <c r="B130" s="4" t="str">
        <f>crop!B130</f>
        <v>C.13.6.be</v>
      </c>
    </row>
    <row r="131" spans="1:2" ht="15" customHeight="1" x14ac:dyDescent="0.2">
      <c r="A131" s="4" t="str">
        <f>crop!A131</f>
        <v>CS #2: grassland (3 years) - wheat - sugar beet - wheat</v>
      </c>
      <c r="B131" s="4" t="str">
        <f>crop!B131</f>
        <v>C.13.7.be</v>
      </c>
    </row>
    <row r="132" spans="1:2" ht="15" customHeight="1" x14ac:dyDescent="0.2">
      <c r="A132" s="4" t="str">
        <f>crop!A132</f>
        <v>CS #2: alfalfa (3 years) - maize - wheat - sugar beet - wheat - barley</v>
      </c>
      <c r="B132" s="4" t="str">
        <f>crop!B132</f>
        <v>C.13.8.be</v>
      </c>
    </row>
    <row r="133" spans="1:2" ht="15" customHeight="1" x14ac:dyDescent="0.2">
      <c r="A133" s="6" t="str">
        <f>crop!A133</f>
        <v>CS #2: grassland (3 years) - maize - wheat - faba bean - wheat - rapeseed - wheat</v>
      </c>
      <c r="B133" s="6" t="str">
        <f>crop!B133</f>
        <v>C.13.9.be</v>
      </c>
    </row>
    <row r="134" spans="1:2" ht="15" customHeight="1" x14ac:dyDescent="0.2">
      <c r="A134" s="7" t="str">
        <f>crop!A134</f>
        <v>CS #1: maize - wheat</v>
      </c>
      <c r="B134" s="7" t="str">
        <f>crop!B134</f>
        <v>C.12.1.it</v>
      </c>
    </row>
    <row r="135" spans="1:2" ht="15" customHeight="1" x14ac:dyDescent="0.2">
      <c r="A135" s="4" t="str">
        <f>crop!A135</f>
        <v>CS #1: sorghum - wheat - potato</v>
      </c>
      <c r="B135" s="4" t="str">
        <f>crop!B135</f>
        <v>C.12.2.it</v>
      </c>
    </row>
    <row r="136" spans="1:2" ht="15" customHeight="1" x14ac:dyDescent="0.2">
      <c r="A136" s="4" t="str">
        <f>crop!A136</f>
        <v>CS #1: rapeseed - sorghum - wheat</v>
      </c>
      <c r="B136" s="4" t="str">
        <f>crop!B136</f>
        <v>C.12.3.it</v>
      </c>
    </row>
    <row r="137" spans="1:2" ht="15" customHeight="1" x14ac:dyDescent="0.2">
      <c r="A137" s="4" t="str">
        <f>crop!A137</f>
        <v>CS #1: alfalfa (3 years) - maize - wheat</v>
      </c>
      <c r="B137" s="4" t="str">
        <f>crop!B137</f>
        <v>C.12.4.it</v>
      </c>
    </row>
    <row r="138" spans="1:2" ht="15" customHeight="1" x14ac:dyDescent="0.2">
      <c r="A138" s="4" t="str">
        <f>crop!A138</f>
        <v>CS #1: faba bean - wheat - rapeseed - maize</v>
      </c>
      <c r="B138" s="4" t="str">
        <f>crop!B138</f>
        <v>C.12.5.it</v>
      </c>
    </row>
    <row r="139" spans="1:2" ht="15" customHeight="1" x14ac:dyDescent="0.2">
      <c r="A139" s="4" t="str">
        <f>crop!A139</f>
        <v>CS #1: grassland (3 years) - maize - wheat</v>
      </c>
      <c r="B139" s="4" t="str">
        <f>crop!B139</f>
        <v>C.12.6.it</v>
      </c>
    </row>
    <row r="140" spans="1:2" ht="15" customHeight="1" x14ac:dyDescent="0.2">
      <c r="A140" s="4" t="str">
        <f>crop!A140</f>
        <v>CS #1: grassland (3 years) - sorghum - wheat</v>
      </c>
      <c r="B140" s="4" t="str">
        <f>crop!B140</f>
        <v>C.12.7.it</v>
      </c>
    </row>
    <row r="141" spans="1:2" ht="15" customHeight="1" x14ac:dyDescent="0.2">
      <c r="A141" s="4" t="str">
        <f>crop!A141</f>
        <v>CS #1: alfalfa (3 years) - maize - barley - faba bean - wheat</v>
      </c>
      <c r="B141" s="4" t="str">
        <f>crop!B141</f>
        <v>C.12.8.it</v>
      </c>
    </row>
    <row r="142" spans="1:2" ht="15" customHeight="1" x14ac:dyDescent="0.2">
      <c r="A142" s="4" t="str">
        <f>crop!A142</f>
        <v>CS #1: alfalfa (3 years) - sorghum - barley - faba bean - rapeseed - wheat</v>
      </c>
      <c r="B142" s="4" t="str">
        <f>crop!B142</f>
        <v>C.12.9.it</v>
      </c>
    </row>
    <row r="143" spans="1:2" ht="15" customHeight="1" x14ac:dyDescent="0.2">
      <c r="A143" s="4" t="str">
        <f>crop!A143</f>
        <v>CS #2: maize - wheat</v>
      </c>
      <c r="B143" s="4" t="str">
        <f>crop!B143</f>
        <v>C.13.1.it</v>
      </c>
    </row>
    <row r="144" spans="1:2" ht="15" customHeight="1" x14ac:dyDescent="0.2">
      <c r="A144" s="4" t="str">
        <f>crop!A144</f>
        <v>CS #2: sorghum - wheat - potato</v>
      </c>
      <c r="B144" s="4" t="str">
        <f>crop!B144</f>
        <v>C.13.2.it</v>
      </c>
    </row>
    <row r="145" spans="1:2" ht="15" customHeight="1" x14ac:dyDescent="0.2">
      <c r="A145" s="4" t="str">
        <f>crop!A145</f>
        <v>CS #2: rapeseed - sorghum - wheat</v>
      </c>
      <c r="B145" s="4" t="str">
        <f>crop!B145</f>
        <v>C.13.3.it</v>
      </c>
    </row>
    <row r="146" spans="1:2" ht="15" customHeight="1" x14ac:dyDescent="0.2">
      <c r="A146" s="4" t="str">
        <f>crop!A146</f>
        <v>CS #2: alfalfa (3 years) - maize - wheat</v>
      </c>
      <c r="B146" s="4" t="str">
        <f>crop!B146</f>
        <v>C.13.4.it</v>
      </c>
    </row>
    <row r="147" spans="1:2" ht="15" customHeight="1" x14ac:dyDescent="0.2">
      <c r="A147" s="4" t="str">
        <f>crop!A147</f>
        <v>CS #2: faba bean - wheat - rapeseed - maize</v>
      </c>
      <c r="B147" s="4" t="str">
        <f>crop!B147</f>
        <v>C.13.5.it</v>
      </c>
    </row>
    <row r="148" spans="1:2" ht="15" customHeight="1" x14ac:dyDescent="0.2">
      <c r="A148" s="4" t="str">
        <f>crop!A148</f>
        <v>CS #2: grassland (3 years) - maize - wheat</v>
      </c>
      <c r="B148" s="4" t="str">
        <f>crop!B148</f>
        <v>C.13.6.it</v>
      </c>
    </row>
    <row r="149" spans="1:2" ht="15" customHeight="1" x14ac:dyDescent="0.2">
      <c r="A149" s="4" t="str">
        <f>crop!A149</f>
        <v>CS #2: grassland (3 years) - sorghum - wheat</v>
      </c>
      <c r="B149" s="4" t="str">
        <f>crop!B149</f>
        <v>C.13.7.it</v>
      </c>
    </row>
    <row r="150" spans="1:2" ht="15" customHeight="1" x14ac:dyDescent="0.2">
      <c r="A150" s="4" t="str">
        <f>crop!A150</f>
        <v>CS #2: alfalfa (3 years) - maize - barley - faba bean - wheat</v>
      </c>
      <c r="B150" s="4" t="str">
        <f>crop!B150</f>
        <v>C.13.8.it</v>
      </c>
    </row>
    <row r="151" spans="1:2" ht="15" customHeight="1" x14ac:dyDescent="0.2">
      <c r="A151" s="6" t="str">
        <f>crop!A151</f>
        <v>CS #2: alfalfa (3 years) - sorghum - barley - faba bean - rapeseed - wheat</v>
      </c>
      <c r="B151" s="6" t="str">
        <f>crop!B151</f>
        <v>C.13.9.it</v>
      </c>
    </row>
    <row r="152" spans="1:2" ht="15" customHeight="1" x14ac:dyDescent="0.2">
      <c r="A152" s="7" t="str">
        <f>crop!A152</f>
        <v>CS #1: maize - wheat</v>
      </c>
      <c r="B152" s="7" t="str">
        <f>crop!B152</f>
        <v>C.12.1.pl</v>
      </c>
    </row>
    <row r="153" spans="1:2" ht="15" customHeight="1" x14ac:dyDescent="0.2">
      <c r="A153" s="4" t="str">
        <f>crop!A153</f>
        <v>CS #1: rapeseed - wheat - maize - barley</v>
      </c>
      <c r="B153" s="4" t="str">
        <f>crop!B153</f>
        <v>C.12.2.pl</v>
      </c>
    </row>
    <row r="154" spans="1:2" ht="15" customHeight="1" x14ac:dyDescent="0.2">
      <c r="A154" s="4" t="str">
        <f>crop!A154</f>
        <v>CS #1: potato - wheat - maize - barley</v>
      </c>
      <c r="B154" s="4" t="str">
        <f>crop!B154</f>
        <v>C.12.3.pl</v>
      </c>
    </row>
    <row r="155" spans="1:2" ht="15" customHeight="1" x14ac:dyDescent="0.2">
      <c r="A155" s="4" t="str">
        <f>crop!A155</f>
        <v>CS #1: alfalfa (3 years) - maize - wheat</v>
      </c>
      <c r="B155" s="4" t="str">
        <f>crop!B155</f>
        <v>C.12.4.pl</v>
      </c>
    </row>
    <row r="156" spans="1:2" ht="15" customHeight="1" x14ac:dyDescent="0.2">
      <c r="A156" s="4" t="str">
        <f>crop!A156</f>
        <v>CS #1: faba bean - wheat - rapeseed - maize</v>
      </c>
      <c r="B156" s="4" t="str">
        <f>crop!B156</f>
        <v>C.12.5.pl</v>
      </c>
    </row>
    <row r="157" spans="1:2" ht="15" customHeight="1" x14ac:dyDescent="0.2">
      <c r="A157" s="4" t="str">
        <f>crop!A157</f>
        <v>CS #1: grassland (3 years) - maize - potato - wheat</v>
      </c>
      <c r="B157" s="4" t="str">
        <f>crop!B157</f>
        <v>C.12.6.pl</v>
      </c>
    </row>
    <row r="158" spans="1:2" ht="15" customHeight="1" x14ac:dyDescent="0.2">
      <c r="A158" s="4" t="str">
        <f>crop!A158</f>
        <v>CS #1: grassland (3 years) - maize - rapeseed - wheat</v>
      </c>
      <c r="B158" s="4" t="str">
        <f>crop!B158</f>
        <v>C.12.7.pl</v>
      </c>
    </row>
    <row r="159" spans="1:2" ht="15" customHeight="1" x14ac:dyDescent="0.2">
      <c r="A159" s="4" t="str">
        <f>crop!A159</f>
        <v>CS #1: faba bean - potato - wheat - alfalfa (3 years) - maize - wheat</v>
      </c>
      <c r="B159" s="4" t="str">
        <f>crop!B159</f>
        <v>C.12.8.pl</v>
      </c>
    </row>
    <row r="160" spans="1:2" ht="15" customHeight="1" x14ac:dyDescent="0.2">
      <c r="A160" s="4" t="str">
        <f>crop!A160</f>
        <v>CS #1: grassland (3 years) - maize - wheat - faba bean - rapeseed</v>
      </c>
      <c r="B160" s="4" t="str">
        <f>crop!B160</f>
        <v>C.12.9.pl</v>
      </c>
    </row>
    <row r="161" spans="1:2" ht="15" customHeight="1" x14ac:dyDescent="0.2">
      <c r="A161" s="4" t="str">
        <f>crop!A161</f>
        <v>CS #2: maize - wheat</v>
      </c>
      <c r="B161" s="4" t="str">
        <f>crop!B161</f>
        <v>C.13.1.pl</v>
      </c>
    </row>
    <row r="162" spans="1:2" ht="15" customHeight="1" x14ac:dyDescent="0.2">
      <c r="A162" s="4" t="str">
        <f>crop!A162</f>
        <v>CS #2: rapeseed - wheat - maize - barley</v>
      </c>
      <c r="B162" s="4" t="str">
        <f>crop!B162</f>
        <v>C.13.2.pl</v>
      </c>
    </row>
    <row r="163" spans="1:2" ht="15" customHeight="1" x14ac:dyDescent="0.2">
      <c r="A163" s="4" t="str">
        <f>crop!A163</f>
        <v>CS #2: potato - wheat - maize - barley</v>
      </c>
      <c r="B163" s="4" t="str">
        <f>crop!B163</f>
        <v>C.13.3.pl</v>
      </c>
    </row>
    <row r="164" spans="1:2" ht="15" customHeight="1" x14ac:dyDescent="0.2">
      <c r="A164" s="4" t="str">
        <f>crop!A164</f>
        <v>CS #2: alfalfa (3 years) - maize - wheat</v>
      </c>
      <c r="B164" s="4" t="str">
        <f>crop!B164</f>
        <v>C.13.4.pl</v>
      </c>
    </row>
    <row r="165" spans="1:2" ht="15" customHeight="1" x14ac:dyDescent="0.2">
      <c r="A165" s="4" t="str">
        <f>crop!A165</f>
        <v>CS #2: faba bean - wheat - rapeseed - maize</v>
      </c>
      <c r="B165" s="4" t="str">
        <f>crop!B165</f>
        <v>C.13.5.pl</v>
      </c>
    </row>
    <row r="166" spans="1:2" ht="15" customHeight="1" x14ac:dyDescent="0.2">
      <c r="A166" s="4" t="str">
        <f>crop!A166</f>
        <v>CS #2: grassland (3 years) - maize - potato - wheat</v>
      </c>
      <c r="B166" s="4" t="str">
        <f>crop!B166</f>
        <v>C.13.6.pl</v>
      </c>
    </row>
    <row r="167" spans="1:2" ht="15" customHeight="1" x14ac:dyDescent="0.2">
      <c r="A167" s="4" t="str">
        <f>crop!A167</f>
        <v>CS #2: grassland (3 years) - maize - rapeseed - wheat</v>
      </c>
      <c r="B167" s="4" t="str">
        <f>crop!B167</f>
        <v>C.13.7.pl</v>
      </c>
    </row>
    <row r="168" spans="1:2" ht="15" customHeight="1" x14ac:dyDescent="0.2">
      <c r="A168" s="4" t="str">
        <f>crop!A168</f>
        <v>CS #2: faba bean - potato - wheat - alfalfa (3 years) - maize - wheat</v>
      </c>
      <c r="B168" s="4" t="str">
        <f>crop!B168</f>
        <v>C.13.8.pl</v>
      </c>
    </row>
    <row r="169" spans="1:2" ht="15" customHeight="1" x14ac:dyDescent="0.2">
      <c r="A169" s="6" t="str">
        <f>crop!A169</f>
        <v>CS #2: grassland (3 years) - maize - wheat - faba bean - rapeseed</v>
      </c>
      <c r="B169" s="6" t="str">
        <f>crop!B169</f>
        <v>C.13.9.pl</v>
      </c>
    </row>
  </sheetData>
  <sheetProtection formatCells="0"/>
  <conditionalFormatting sqref="D3:DU133">
    <cfRule type="containsBlanks" priority="4">
      <formula>LEN(TRIM(D3))=0</formula>
    </cfRule>
    <cfRule type="notContainsBlanks" dxfId="9" priority="5">
      <formula>LEN(TRIM(D3))&gt;0</formula>
    </cfRule>
  </conditionalFormatting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I169"/>
  <sheetViews>
    <sheetView showGridLines="0" zoomScale="80" zoomScaleNormal="80" workbookViewId="0">
      <pane xSplit="3" ySplit="2" topLeftCell="D3" activePane="bottomRight" state="frozenSplit"/>
      <selection pane="topRight" activeCell="E1" sqref="E1"/>
      <selection pane="bottomLeft" activeCell="A16" sqref="A16"/>
      <selection pane="bottomRight" activeCell="D3" sqref="D3"/>
    </sheetView>
  </sheetViews>
  <sheetFormatPr baseColWidth="10" defaultColWidth="11.25" defaultRowHeight="15" customHeight="1" x14ac:dyDescent="0.2"/>
  <cols>
    <col min="1" max="1" width="33.125" style="1" customWidth="1"/>
    <col min="2" max="3" width="9.375" style="1" customWidth="1"/>
    <col min="4" max="304" width="11.25" style="1"/>
    <col min="305" max="309" width="11.25" style="2"/>
    <col min="310" max="16384" width="11.25" style="1"/>
  </cols>
  <sheetData>
    <row r="1" spans="1:321" ht="15" customHeight="1" x14ac:dyDescent="0.2">
      <c r="C1" s="1" t="s">
        <v>0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  <c r="AH1" s="1" t="s">
        <v>384</v>
      </c>
      <c r="AI1" s="1" t="s">
        <v>385</v>
      </c>
      <c r="AJ1" s="1" t="s">
        <v>386</v>
      </c>
      <c r="AK1" s="1" t="s">
        <v>387</v>
      </c>
      <c r="AL1" s="1" t="s">
        <v>388</v>
      </c>
      <c r="AM1" s="1" t="s">
        <v>389</v>
      </c>
      <c r="AN1" s="1" t="s">
        <v>390</v>
      </c>
      <c r="AO1" s="1" t="s">
        <v>391</v>
      </c>
      <c r="AP1" s="1" t="s">
        <v>392</v>
      </c>
      <c r="AQ1" s="1" t="s">
        <v>393</v>
      </c>
      <c r="AR1" s="1" t="s">
        <v>394</v>
      </c>
      <c r="AS1" s="1" t="s">
        <v>395</v>
      </c>
      <c r="AT1" s="1" t="s">
        <v>396</v>
      </c>
      <c r="AU1" s="1" t="s">
        <v>397</v>
      </c>
      <c r="AV1" s="1" t="s">
        <v>398</v>
      </c>
      <c r="AW1" s="1" t="s">
        <v>399</v>
      </c>
      <c r="AX1" s="1" t="s">
        <v>400</v>
      </c>
      <c r="AY1" s="1" t="s">
        <v>401</v>
      </c>
      <c r="AZ1" s="1" t="s">
        <v>402</v>
      </c>
      <c r="BA1" s="1" t="s">
        <v>403</v>
      </c>
      <c r="BB1" s="1" t="s">
        <v>404</v>
      </c>
      <c r="BC1" s="1" t="s">
        <v>405</v>
      </c>
      <c r="BD1" s="1" t="s">
        <v>406</v>
      </c>
      <c r="BE1" s="1" t="s">
        <v>407</v>
      </c>
      <c r="BF1" s="1" t="s">
        <v>408</v>
      </c>
      <c r="BG1" s="1" t="s">
        <v>409</v>
      </c>
      <c r="BH1" s="1" t="s">
        <v>410</v>
      </c>
      <c r="BI1" s="1" t="s">
        <v>411</v>
      </c>
      <c r="BJ1" s="1" t="s">
        <v>412</v>
      </c>
      <c r="BK1" s="1" t="s">
        <v>413</v>
      </c>
      <c r="BL1" s="1" t="s">
        <v>414</v>
      </c>
      <c r="BM1" s="1" t="s">
        <v>415</v>
      </c>
      <c r="BN1" s="1" t="s">
        <v>416</v>
      </c>
      <c r="BO1" s="1" t="s">
        <v>417</v>
      </c>
      <c r="BP1" s="1" t="s">
        <v>418</v>
      </c>
      <c r="BQ1" s="1" t="s">
        <v>419</v>
      </c>
      <c r="BR1" s="1" t="s">
        <v>420</v>
      </c>
      <c r="BS1" s="1" t="s">
        <v>421</v>
      </c>
      <c r="BT1" s="1" t="s">
        <v>422</v>
      </c>
      <c r="BU1" s="1" t="s">
        <v>423</v>
      </c>
      <c r="BV1" s="1" t="s">
        <v>424</v>
      </c>
      <c r="BW1" s="1" t="s">
        <v>425</v>
      </c>
      <c r="BX1" s="1" t="s">
        <v>426</v>
      </c>
      <c r="BY1" s="1" t="s">
        <v>427</v>
      </c>
      <c r="BZ1" s="1" t="s">
        <v>428</v>
      </c>
      <c r="CA1" s="1" t="s">
        <v>429</v>
      </c>
      <c r="CB1" s="1" t="s">
        <v>430</v>
      </c>
      <c r="CC1" s="1" t="s">
        <v>431</v>
      </c>
      <c r="CD1" s="1" t="s">
        <v>432</v>
      </c>
      <c r="CE1" s="1" t="s">
        <v>433</v>
      </c>
      <c r="CF1" s="1" t="s">
        <v>434</v>
      </c>
      <c r="CG1" s="1" t="s">
        <v>435</v>
      </c>
      <c r="CH1" s="1" t="s">
        <v>436</v>
      </c>
      <c r="CI1" s="1" t="s">
        <v>437</v>
      </c>
      <c r="CJ1" s="1" t="s">
        <v>438</v>
      </c>
      <c r="CK1" s="1" t="s">
        <v>439</v>
      </c>
      <c r="CL1" s="1" t="s">
        <v>440</v>
      </c>
      <c r="CM1" s="1" t="s">
        <v>441</v>
      </c>
      <c r="CN1" s="1" t="s">
        <v>442</v>
      </c>
      <c r="CO1" s="1" t="s">
        <v>443</v>
      </c>
      <c r="CP1" s="1" t="s">
        <v>444</v>
      </c>
      <c r="CQ1" s="1" t="s">
        <v>445</v>
      </c>
      <c r="CR1" s="1" t="s">
        <v>446</v>
      </c>
      <c r="CS1" s="1" t="s">
        <v>447</v>
      </c>
      <c r="CT1" s="1" t="s">
        <v>448</v>
      </c>
      <c r="CU1" s="1" t="s">
        <v>449</v>
      </c>
      <c r="CV1" s="1" t="s">
        <v>450</v>
      </c>
      <c r="CW1" s="1" t="s">
        <v>451</v>
      </c>
      <c r="CX1" s="1" t="s">
        <v>452</v>
      </c>
      <c r="CY1" s="1" t="s">
        <v>453</v>
      </c>
      <c r="CZ1" s="1" t="s">
        <v>454</v>
      </c>
      <c r="DA1" s="1" t="s">
        <v>455</v>
      </c>
      <c r="DB1" s="1" t="s">
        <v>456</v>
      </c>
      <c r="DC1" s="1" t="s">
        <v>457</v>
      </c>
      <c r="DD1" s="1" t="s">
        <v>458</v>
      </c>
      <c r="DE1" s="1" t="s">
        <v>459</v>
      </c>
      <c r="DF1" s="1" t="s">
        <v>460</v>
      </c>
      <c r="DG1" s="1" t="s">
        <v>461</v>
      </c>
      <c r="DH1" s="1" t="s">
        <v>462</v>
      </c>
      <c r="DI1" s="1" t="s">
        <v>463</v>
      </c>
      <c r="DJ1" s="1" t="s">
        <v>464</v>
      </c>
      <c r="DK1" s="1" t="s">
        <v>465</v>
      </c>
      <c r="DL1" s="1" t="s">
        <v>466</v>
      </c>
      <c r="DM1" s="1" t="s">
        <v>467</v>
      </c>
      <c r="DN1" s="1" t="s">
        <v>468</v>
      </c>
      <c r="DO1" s="1" t="s">
        <v>469</v>
      </c>
      <c r="DP1" s="1" t="s">
        <v>470</v>
      </c>
      <c r="DQ1" s="1" t="s">
        <v>471</v>
      </c>
      <c r="DR1" s="1" t="s">
        <v>472</v>
      </c>
      <c r="DS1" s="1" t="s">
        <v>473</v>
      </c>
      <c r="DT1" s="1" t="s">
        <v>474</v>
      </c>
      <c r="DU1" s="1" t="s">
        <v>475</v>
      </c>
      <c r="DV1" s="1" t="s">
        <v>476</v>
      </c>
      <c r="DW1" s="1" t="s">
        <v>477</v>
      </c>
      <c r="DX1" s="1" t="s">
        <v>478</v>
      </c>
      <c r="DY1" s="1" t="s">
        <v>479</v>
      </c>
      <c r="DZ1" s="1" t="s">
        <v>480</v>
      </c>
      <c r="EA1" s="1" t="s">
        <v>481</v>
      </c>
      <c r="EB1" s="1" t="s">
        <v>482</v>
      </c>
      <c r="EC1" s="1" t="s">
        <v>483</v>
      </c>
      <c r="ED1" s="1" t="s">
        <v>484</v>
      </c>
      <c r="EE1" s="1" t="s">
        <v>485</v>
      </c>
      <c r="EF1" s="1" t="s">
        <v>486</v>
      </c>
      <c r="EG1" s="1" t="s">
        <v>487</v>
      </c>
      <c r="EH1" s="1" t="s">
        <v>488</v>
      </c>
      <c r="EI1" s="1" t="s">
        <v>489</v>
      </c>
      <c r="EJ1" s="1" t="s">
        <v>490</v>
      </c>
      <c r="EK1" s="1" t="s">
        <v>491</v>
      </c>
      <c r="EL1" s="1" t="s">
        <v>492</v>
      </c>
      <c r="EM1" s="1" t="s">
        <v>493</v>
      </c>
      <c r="EN1" s="1" t="s">
        <v>494</v>
      </c>
      <c r="EO1" s="1" t="s">
        <v>495</v>
      </c>
      <c r="EP1" s="1" t="s">
        <v>496</v>
      </c>
      <c r="EQ1" s="1" t="s">
        <v>497</v>
      </c>
      <c r="ER1" s="1" t="s">
        <v>498</v>
      </c>
      <c r="ES1" s="1" t="s">
        <v>499</v>
      </c>
      <c r="ET1" s="1" t="s">
        <v>500</v>
      </c>
      <c r="EU1" s="1" t="s">
        <v>501</v>
      </c>
      <c r="EV1" s="1" t="s">
        <v>502</v>
      </c>
      <c r="EW1" s="1" t="s">
        <v>503</v>
      </c>
      <c r="EX1" s="1" t="s">
        <v>504</v>
      </c>
      <c r="EY1" s="1" t="s">
        <v>505</v>
      </c>
      <c r="EZ1" s="1" t="s">
        <v>506</v>
      </c>
      <c r="FA1" s="1" t="s">
        <v>507</v>
      </c>
      <c r="FB1" s="1" t="s">
        <v>508</v>
      </c>
      <c r="FC1" s="1" t="s">
        <v>509</v>
      </c>
      <c r="FD1" s="1" t="s">
        <v>510</v>
      </c>
      <c r="FE1" s="1" t="s">
        <v>511</v>
      </c>
      <c r="FF1" s="1" t="s">
        <v>512</v>
      </c>
      <c r="FG1" s="1" t="s">
        <v>513</v>
      </c>
      <c r="FH1" s="1" t="s">
        <v>514</v>
      </c>
      <c r="FI1" s="1" t="s">
        <v>515</v>
      </c>
      <c r="FJ1" s="1" t="s">
        <v>516</v>
      </c>
      <c r="FK1" s="1" t="s">
        <v>517</v>
      </c>
      <c r="FL1" s="1" t="s">
        <v>518</v>
      </c>
      <c r="FM1" s="1" t="s">
        <v>519</v>
      </c>
      <c r="FN1" s="1" t="s">
        <v>520</v>
      </c>
      <c r="FO1" s="1" t="s">
        <v>521</v>
      </c>
      <c r="FP1" s="1" t="s">
        <v>522</v>
      </c>
      <c r="FQ1" s="1" t="s">
        <v>523</v>
      </c>
      <c r="FR1" s="1" t="s">
        <v>524</v>
      </c>
      <c r="FS1" s="1" t="s">
        <v>525</v>
      </c>
      <c r="FT1" s="1" t="s">
        <v>526</v>
      </c>
      <c r="FU1" s="1" t="s">
        <v>527</v>
      </c>
      <c r="FV1" s="1" t="s">
        <v>528</v>
      </c>
      <c r="FW1" s="1" t="s">
        <v>529</v>
      </c>
      <c r="FX1" s="1" t="s">
        <v>530</v>
      </c>
      <c r="FY1" s="1" t="s">
        <v>531</v>
      </c>
      <c r="FZ1" s="1" t="s">
        <v>532</v>
      </c>
      <c r="GA1" s="1" t="s">
        <v>533</v>
      </c>
      <c r="GB1" s="1" t="s">
        <v>534</v>
      </c>
      <c r="GC1" s="1" t="s">
        <v>535</v>
      </c>
      <c r="GD1" s="1" t="s">
        <v>536</v>
      </c>
      <c r="GE1" s="1" t="s">
        <v>537</v>
      </c>
      <c r="GF1" s="1" t="s">
        <v>538</v>
      </c>
      <c r="GG1" s="1" t="s">
        <v>539</v>
      </c>
      <c r="GH1" s="1" t="s">
        <v>540</v>
      </c>
      <c r="GI1" s="1" t="s">
        <v>541</v>
      </c>
      <c r="GJ1" s="1" t="s">
        <v>542</v>
      </c>
      <c r="GK1" s="1" t="s">
        <v>543</v>
      </c>
      <c r="GL1" s="1" t="s">
        <v>544</v>
      </c>
      <c r="GM1" s="1" t="s">
        <v>545</v>
      </c>
      <c r="GN1" s="1" t="s">
        <v>546</v>
      </c>
      <c r="GO1" s="1" t="s">
        <v>547</v>
      </c>
      <c r="GP1" s="1" t="s">
        <v>548</v>
      </c>
      <c r="GQ1" s="1" t="s">
        <v>549</v>
      </c>
      <c r="GR1" s="1" t="s">
        <v>550</v>
      </c>
      <c r="GS1" s="1" t="s">
        <v>551</v>
      </c>
      <c r="GT1" s="1" t="s">
        <v>552</v>
      </c>
      <c r="GU1" s="1" t="s">
        <v>553</v>
      </c>
      <c r="GV1" s="1" t="s">
        <v>554</v>
      </c>
      <c r="GW1" s="1" t="s">
        <v>555</v>
      </c>
      <c r="GX1" s="1" t="s">
        <v>556</v>
      </c>
      <c r="GY1" s="1" t="s">
        <v>557</v>
      </c>
      <c r="GZ1" s="1" t="s">
        <v>558</v>
      </c>
      <c r="HA1" s="1" t="s">
        <v>559</v>
      </c>
      <c r="HB1" s="1" t="s">
        <v>560</v>
      </c>
      <c r="HC1" s="1" t="s">
        <v>561</v>
      </c>
      <c r="HD1" s="1" t="s">
        <v>562</v>
      </c>
      <c r="HE1" s="1" t="s">
        <v>563</v>
      </c>
      <c r="HF1" s="1" t="s">
        <v>564</v>
      </c>
      <c r="HG1" s="1" t="s">
        <v>565</v>
      </c>
      <c r="HH1" s="1" t="s">
        <v>566</v>
      </c>
      <c r="HI1" s="1" t="s">
        <v>567</v>
      </c>
      <c r="HJ1" s="1" t="s">
        <v>568</v>
      </c>
      <c r="HK1" s="1" t="s">
        <v>569</v>
      </c>
      <c r="HL1" s="1" t="s">
        <v>570</v>
      </c>
      <c r="HM1" s="1" t="s">
        <v>571</v>
      </c>
      <c r="HN1" s="1" t="s">
        <v>572</v>
      </c>
      <c r="HO1" s="1" t="s">
        <v>573</v>
      </c>
      <c r="HP1" s="1" t="s">
        <v>574</v>
      </c>
      <c r="HQ1" s="1" t="s">
        <v>575</v>
      </c>
      <c r="HR1" s="1" t="s">
        <v>576</v>
      </c>
      <c r="HS1" s="1" t="s">
        <v>577</v>
      </c>
      <c r="HT1" s="1" t="s">
        <v>578</v>
      </c>
      <c r="HU1" s="1" t="s">
        <v>579</v>
      </c>
      <c r="HV1" s="1" t="s">
        <v>580</v>
      </c>
      <c r="HW1" s="1" t="s">
        <v>581</v>
      </c>
      <c r="HX1" s="1" t="s">
        <v>582</v>
      </c>
      <c r="HY1" s="1" t="s">
        <v>583</v>
      </c>
      <c r="HZ1" s="1" t="s">
        <v>584</v>
      </c>
      <c r="IA1" s="1" t="s">
        <v>585</v>
      </c>
      <c r="IB1" s="1" t="s">
        <v>586</v>
      </c>
      <c r="IC1" s="1" t="s">
        <v>587</v>
      </c>
      <c r="ID1" s="1" t="s">
        <v>588</v>
      </c>
      <c r="IE1" s="1" t="s">
        <v>589</v>
      </c>
      <c r="IF1" s="1" t="s">
        <v>590</v>
      </c>
      <c r="IG1" s="1" t="s">
        <v>591</v>
      </c>
      <c r="IH1" s="1" t="s">
        <v>592</v>
      </c>
      <c r="II1" s="1" t="s">
        <v>593</v>
      </c>
      <c r="IJ1" s="1" t="s">
        <v>594</v>
      </c>
      <c r="IK1" s="1" t="s">
        <v>595</v>
      </c>
      <c r="IL1" s="1" t="s">
        <v>596</v>
      </c>
      <c r="IM1" s="1" t="s">
        <v>597</v>
      </c>
      <c r="IN1" s="1" t="s">
        <v>598</v>
      </c>
      <c r="IO1" s="1" t="s">
        <v>599</v>
      </c>
      <c r="IP1" s="1" t="s">
        <v>600</v>
      </c>
      <c r="IQ1" s="1" t="s">
        <v>601</v>
      </c>
      <c r="IR1" s="1" t="s">
        <v>602</v>
      </c>
      <c r="IS1" s="1" t="s">
        <v>603</v>
      </c>
      <c r="IT1" s="1" t="s">
        <v>604</v>
      </c>
      <c r="IU1" s="1" t="s">
        <v>605</v>
      </c>
      <c r="IV1" s="1" t="s">
        <v>606</v>
      </c>
      <c r="IW1" s="1" t="s">
        <v>607</v>
      </c>
      <c r="IX1" s="1" t="s">
        <v>608</v>
      </c>
      <c r="IY1" s="1" t="s">
        <v>609</v>
      </c>
      <c r="IZ1" s="1" t="s">
        <v>610</v>
      </c>
      <c r="JA1" s="1" t="s">
        <v>611</v>
      </c>
      <c r="JB1" s="1" t="s">
        <v>612</v>
      </c>
      <c r="JC1" s="1" t="s">
        <v>613</v>
      </c>
      <c r="JD1" s="1" t="s">
        <v>614</v>
      </c>
      <c r="JE1" s="1" t="s">
        <v>615</v>
      </c>
      <c r="JF1" s="1" t="s">
        <v>616</v>
      </c>
      <c r="JG1" s="1" t="s">
        <v>617</v>
      </c>
      <c r="JH1" s="1" t="s">
        <v>618</v>
      </c>
      <c r="JI1" s="1" t="s">
        <v>619</v>
      </c>
      <c r="JJ1" s="1" t="s">
        <v>620</v>
      </c>
      <c r="JK1" s="1" t="s">
        <v>621</v>
      </c>
      <c r="JL1" s="1" t="s">
        <v>622</v>
      </c>
      <c r="JM1" s="1" t="s">
        <v>623</v>
      </c>
      <c r="JN1" s="1" t="s">
        <v>624</v>
      </c>
      <c r="JO1" s="1" t="s">
        <v>625</v>
      </c>
      <c r="JP1" s="1" t="s">
        <v>626</v>
      </c>
      <c r="JQ1" s="1" t="s">
        <v>627</v>
      </c>
      <c r="JR1" s="1" t="s">
        <v>628</v>
      </c>
      <c r="JS1" s="1" t="s">
        <v>629</v>
      </c>
      <c r="JT1" s="1" t="s">
        <v>630</v>
      </c>
      <c r="JU1" s="1" t="s">
        <v>631</v>
      </c>
      <c r="JV1" s="1" t="s">
        <v>632</v>
      </c>
      <c r="JW1" s="1" t="s">
        <v>633</v>
      </c>
      <c r="JX1" s="1" t="s">
        <v>634</v>
      </c>
      <c r="JY1" s="1" t="s">
        <v>635</v>
      </c>
      <c r="JZ1" s="1" t="s">
        <v>636</v>
      </c>
      <c r="KA1" s="1" t="s">
        <v>637</v>
      </c>
      <c r="KB1" s="1" t="s">
        <v>638</v>
      </c>
      <c r="KC1" s="1" t="s">
        <v>639</v>
      </c>
      <c r="KD1" s="1" t="s">
        <v>640</v>
      </c>
      <c r="KE1" s="1" t="s">
        <v>641</v>
      </c>
      <c r="KF1" s="1" t="s">
        <v>642</v>
      </c>
      <c r="KG1" s="1" t="s">
        <v>643</v>
      </c>
      <c r="KH1" s="1" t="s">
        <v>644</v>
      </c>
      <c r="KI1" s="1" t="s">
        <v>645</v>
      </c>
      <c r="KJ1" s="1" t="s">
        <v>646</v>
      </c>
      <c r="KK1" s="1" t="s">
        <v>647</v>
      </c>
      <c r="KL1" s="1" t="s">
        <v>648</v>
      </c>
      <c r="KM1" s="1" t="s">
        <v>649</v>
      </c>
      <c r="KN1" s="1" t="s">
        <v>650</v>
      </c>
      <c r="KO1" s="1" t="s">
        <v>651</v>
      </c>
      <c r="KP1" s="1" t="s">
        <v>652</v>
      </c>
      <c r="KQ1" s="1" t="s">
        <v>653</v>
      </c>
      <c r="KR1" s="1" t="s">
        <v>654</v>
      </c>
      <c r="KS1" s="2" t="s">
        <v>655</v>
      </c>
      <c r="KT1" s="2" t="s">
        <v>656</v>
      </c>
      <c r="KU1" s="12" t="s">
        <v>657</v>
      </c>
      <c r="KV1" s="12" t="s">
        <v>658</v>
      </c>
      <c r="KW1" s="2" t="s">
        <v>217</v>
      </c>
      <c r="KX1" s="1" t="s">
        <v>670</v>
      </c>
      <c r="KY1" s="1" t="s">
        <v>671</v>
      </c>
      <c r="KZ1" s="1" t="s">
        <v>672</v>
      </c>
      <c r="LA1" s="1" t="s">
        <v>673</v>
      </c>
      <c r="LB1" s="1" t="s">
        <v>674</v>
      </c>
      <c r="LC1" s="1" t="s">
        <v>675</v>
      </c>
      <c r="LD1" s="1" t="s">
        <v>676</v>
      </c>
      <c r="LE1" s="1" t="s">
        <v>677</v>
      </c>
      <c r="LF1" s="1" t="s">
        <v>678</v>
      </c>
      <c r="LG1" s="13" t="s">
        <v>219</v>
      </c>
      <c r="LH1" s="14" t="s">
        <v>659</v>
      </c>
      <c r="LI1" s="13" t="s">
        <v>218</v>
      </c>
    </row>
    <row r="2" spans="1:321" ht="15" customHeight="1" x14ac:dyDescent="0.2">
      <c r="A2" s="1" t="s">
        <v>2</v>
      </c>
      <c r="B2" s="1" t="s">
        <v>3</v>
      </c>
      <c r="C2" s="1" t="s">
        <v>1</v>
      </c>
      <c r="D2" s="1" t="str">
        <f>INDEX([1]indicators!$I$2:$I$1491,MATCH(D$1,[1]indicators!$C$2:$C$1491,0),1)</f>
        <v>indCr77.UAA1</v>
      </c>
      <c r="E2" s="1" t="str">
        <f>INDEX([1]indicators!$I$2:$I$1491,MATCH(E$1,[1]indicators!$C$2:$C$1491,0),1)</f>
        <v>indCr78.UAA1</v>
      </c>
      <c r="F2" s="1" t="str">
        <f>INDEX([1]indicators!$I$2:$I$1491,MATCH(F$1,[1]indicators!$C$2:$C$1491,0),1)</f>
        <v>indCr79.UAA1</v>
      </c>
      <c r="G2" s="1" t="str">
        <f>INDEX([1]indicators!$I$2:$I$1491,MATCH(G$1,[1]indicators!$C$2:$C$1491,0),1)</f>
        <v>indCr80.UAA1</v>
      </c>
      <c r="H2" s="1" t="str">
        <f>INDEX([1]indicators!$I$2:$I$1491,MATCH(H$1,[1]indicators!$C$2:$C$1491,0),1)</f>
        <v>indCr81.UAA1</v>
      </c>
      <c r="I2" s="1" t="str">
        <f>INDEX([1]indicators!$I$2:$I$1491,MATCH(I$1,[1]indicators!$C$2:$C$1491,0),1)</f>
        <v>indCr82.UAA1</v>
      </c>
      <c r="J2" s="1" t="str">
        <f>INDEX([1]indicators!$I$2:$I$1491,MATCH(J$1,[1]indicators!$C$2:$C$1491,0),1)</f>
        <v>indCr83.UAA1</v>
      </c>
      <c r="K2" s="1" t="str">
        <f>INDEX([1]indicators!$I$2:$I$1491,MATCH(K$1,[1]indicators!$C$2:$C$1491,0),1)</f>
        <v>indCr84.UAA1</v>
      </c>
      <c r="L2" s="1" t="str">
        <f>INDEX([1]indicators!$I$2:$I$1491,MATCH(L$1,[1]indicators!$C$2:$C$1491,0),1)</f>
        <v>indCr85.UAA1</v>
      </c>
      <c r="M2" s="1" t="str">
        <f>INDEX([1]indicators!$I$2:$I$1491,MATCH(M$1,[1]indicators!$C$2:$C$1491,0),1)</f>
        <v>indCr86.UAA1</v>
      </c>
      <c r="N2" s="1" t="str">
        <f>INDEX([1]indicators!$I$2:$I$1491,MATCH(N$1,[1]indicators!$C$2:$C$1491,0),1)</f>
        <v>indCr87.UAA1</v>
      </c>
      <c r="O2" s="1" t="str">
        <f>INDEX([1]indicators!$I$2:$I$1491,MATCH(O$1,[1]indicators!$C$2:$C$1491,0),1)</f>
        <v>indCr77.UAA2</v>
      </c>
      <c r="P2" s="1" t="str">
        <f>INDEX([1]indicators!$I$2:$I$1491,MATCH(P$1,[1]indicators!$C$2:$C$1491,0),1)</f>
        <v>indCr78.UAA2</v>
      </c>
      <c r="Q2" s="1" t="str">
        <f>INDEX([1]indicators!$I$2:$I$1491,MATCH(Q$1,[1]indicators!$C$2:$C$1491,0),1)</f>
        <v>indCr79.UAA2</v>
      </c>
      <c r="R2" s="1" t="str">
        <f>INDEX([1]indicators!$I$2:$I$1491,MATCH(R$1,[1]indicators!$C$2:$C$1491,0),1)</f>
        <v>indCr80.UAA2</v>
      </c>
      <c r="S2" s="1" t="str">
        <f>INDEX([1]indicators!$I$2:$I$1491,MATCH(S$1,[1]indicators!$C$2:$C$1491,0),1)</f>
        <v>indCr81.UAA2</v>
      </c>
      <c r="T2" s="1" t="str">
        <f>INDEX([1]indicators!$I$2:$I$1491,MATCH(T$1,[1]indicators!$C$2:$C$1491,0),1)</f>
        <v>indCr82.UAA2</v>
      </c>
      <c r="U2" s="1" t="str">
        <f>INDEX([1]indicators!$I$2:$I$1491,MATCH(U$1,[1]indicators!$C$2:$C$1491,0),1)</f>
        <v>indCr83.UAA2</v>
      </c>
      <c r="V2" s="1" t="str">
        <f>INDEX([1]indicators!$I$2:$I$1491,MATCH(V$1,[1]indicators!$C$2:$C$1491,0),1)</f>
        <v>indCr84.UAA2</v>
      </c>
      <c r="W2" s="1" t="str">
        <f>INDEX([1]indicators!$I$2:$I$1491,MATCH(W$1,[1]indicators!$C$2:$C$1491,0),1)</f>
        <v>indCr85.UAA2</v>
      </c>
      <c r="X2" s="1" t="str">
        <f>INDEX([1]indicators!$I$2:$I$1491,MATCH(X$1,[1]indicators!$C$2:$C$1491,0),1)</f>
        <v>indCr86.UAA2</v>
      </c>
      <c r="Y2" s="1" t="str">
        <f>INDEX([1]indicators!$I$2:$I$1491,MATCH(Y$1,[1]indicators!$C$2:$C$1491,0),1)</f>
        <v>indCr87.UAA2</v>
      </c>
      <c r="Z2" s="1" t="str">
        <f>INDEX([1]indicators!$I$2:$I$1491,MATCH(Z$1,[1]indicators!$C$2:$C$1491,0),1)</f>
        <v>indCr88</v>
      </c>
      <c r="AA2" s="1" t="str">
        <f>INDEX([1]indicators!$I$2:$I$1491,MATCH(AA$1,[1]indicators!$C$2:$C$1491,0),1)</f>
        <v>indAn40</v>
      </c>
      <c r="AB2" s="1" t="str">
        <f>INDEX([1]indicators!$I$2:$I$1491,MATCH(AB$1,[1]indicators!$C$2:$C$1491,0),1)</f>
        <v>indAn41</v>
      </c>
      <c r="AC2" s="1" t="str">
        <f>INDEX([1]indicators!$I$2:$I$1491,MATCH(AC$1,[1]indicators!$C$2:$C$1491,0),1)</f>
        <v>indCr89.UAA1 Jan</v>
      </c>
      <c r="AD2" s="1" t="str">
        <f>INDEX([1]indicators!$I$2:$I$1491,MATCH(AD$1,[1]indicators!$C$2:$C$1491,0),1)</f>
        <v>indCr90.UAA1 Feb</v>
      </c>
      <c r="AE2" s="1" t="str">
        <f>INDEX([1]indicators!$I$2:$I$1491,MATCH(AE$1,[1]indicators!$C$2:$C$1491,0),1)</f>
        <v>indCr91.UAA1 March</v>
      </c>
      <c r="AF2" s="1" t="str">
        <f>INDEX([1]indicators!$I$2:$I$1491,MATCH(AF$1,[1]indicators!$C$2:$C$1491,0),1)</f>
        <v>indCr92.UAA1 Apr</v>
      </c>
      <c r="AG2" s="1" t="str">
        <f>INDEX([1]indicators!$I$2:$I$1491,MATCH(AG$1,[1]indicators!$C$2:$C$1491,0),1)</f>
        <v>indCr93.UAA1 May</v>
      </c>
      <c r="AH2" s="1" t="str">
        <f>INDEX([1]indicators!$I$2:$I$1491,MATCH(AH$1,[1]indicators!$C$2:$C$1491,0),1)</f>
        <v>indCr94.UAA1 June</v>
      </c>
      <c r="AI2" s="1" t="str">
        <f>INDEX([1]indicators!$I$2:$I$1491,MATCH(AI$1,[1]indicators!$C$2:$C$1491,0),1)</f>
        <v>indCr95.UAA1 July</v>
      </c>
      <c r="AJ2" s="1" t="str">
        <f>INDEX([1]indicators!$I$2:$I$1491,MATCH(AJ$1,[1]indicators!$C$2:$C$1491,0),1)</f>
        <v>indCr96.UAA1 Aug</v>
      </c>
      <c r="AK2" s="1" t="str">
        <f>INDEX([1]indicators!$I$2:$I$1491,MATCH(AK$1,[1]indicators!$C$2:$C$1491,0),1)</f>
        <v>indCr97.UAA1 Sept</v>
      </c>
      <c r="AL2" s="1" t="str">
        <f>INDEX([1]indicators!$I$2:$I$1491,MATCH(AL$1,[1]indicators!$C$2:$C$1491,0),1)</f>
        <v>indCr98.UAA1 Oct</v>
      </c>
      <c r="AM2" s="1" t="str">
        <f>INDEX([1]indicators!$I$2:$I$1491,MATCH(AM$1,[1]indicators!$C$2:$C$1491,0),1)</f>
        <v>indCr99.UAA1 Nov</v>
      </c>
      <c r="AN2" s="1" t="str">
        <f>INDEX([1]indicators!$I$2:$I$1491,MATCH(AN$1,[1]indicators!$C$2:$C$1491,0),1)</f>
        <v>indCr100.UAA1 Dec</v>
      </c>
      <c r="AO2" s="1" t="str">
        <f>INDEX([1]indicators!$I$2:$I$1491,MATCH(AO$1,[1]indicators!$C$2:$C$1491,0),1)</f>
        <v>indCr101.UAA1 Jan</v>
      </c>
      <c r="AP2" s="1" t="str">
        <f>INDEX([1]indicators!$I$2:$I$1491,MATCH(AP$1,[1]indicators!$C$2:$C$1491,0),1)</f>
        <v>indCr102.UAA1 Feb</v>
      </c>
      <c r="AQ2" s="1" t="str">
        <f>INDEX([1]indicators!$I$2:$I$1491,MATCH(AQ$1,[1]indicators!$C$2:$C$1491,0),1)</f>
        <v>indCr103.UAA1 March</v>
      </c>
      <c r="AR2" s="1" t="str">
        <f>INDEX([1]indicators!$I$2:$I$1491,MATCH(AR$1,[1]indicators!$C$2:$C$1491,0),1)</f>
        <v>indCr104.UAA1 Apr</v>
      </c>
      <c r="AS2" s="1" t="str">
        <f>INDEX([1]indicators!$I$2:$I$1491,MATCH(AS$1,[1]indicators!$C$2:$C$1491,0),1)</f>
        <v>indCr105.UAA1 May</v>
      </c>
      <c r="AT2" s="1" t="str">
        <f>INDEX([1]indicators!$I$2:$I$1491,MATCH(AT$1,[1]indicators!$C$2:$C$1491,0),1)</f>
        <v>indCr106.UAA1 June</v>
      </c>
      <c r="AU2" s="1" t="str">
        <f>INDEX([1]indicators!$I$2:$I$1491,MATCH(AU$1,[1]indicators!$C$2:$C$1491,0),1)</f>
        <v>indCr107.UAA1 July</v>
      </c>
      <c r="AV2" s="1" t="str">
        <f>INDEX([1]indicators!$I$2:$I$1491,MATCH(AV$1,[1]indicators!$C$2:$C$1491,0),1)</f>
        <v>indCr108.UAA1 Aug</v>
      </c>
      <c r="AW2" s="1" t="str">
        <f>INDEX([1]indicators!$I$2:$I$1491,MATCH(AW$1,[1]indicators!$C$2:$C$1491,0),1)</f>
        <v>indCr109.UAA1 Sept</v>
      </c>
      <c r="AX2" s="1" t="str">
        <f>INDEX([1]indicators!$I$2:$I$1491,MATCH(AX$1,[1]indicators!$C$2:$C$1491,0),1)</f>
        <v>indCr110.UAA1 Oct</v>
      </c>
      <c r="AY2" s="1" t="str">
        <f>INDEX([1]indicators!$I$2:$I$1491,MATCH(AY$1,[1]indicators!$C$2:$C$1491,0),1)</f>
        <v>indCr111.UAA1 Nov</v>
      </c>
      <c r="AZ2" s="1" t="str">
        <f>INDEX([1]indicators!$I$2:$I$1491,MATCH(AZ$1,[1]indicators!$C$2:$C$1491,0),1)</f>
        <v>indCr112.UAA1 Dec</v>
      </c>
      <c r="BA2" s="1" t="str">
        <f>INDEX([1]indicators!$I$2:$I$1491,MATCH(BA$1,[1]indicators!$C$2:$C$1491,0),1)</f>
        <v>indCr113.UAA1 Jan</v>
      </c>
      <c r="BB2" s="1" t="str">
        <f>INDEX([1]indicators!$I$2:$I$1491,MATCH(BB$1,[1]indicators!$C$2:$C$1491,0),1)</f>
        <v>indCr114.UAA1 Feb</v>
      </c>
      <c r="BC2" s="1" t="str">
        <f>INDEX([1]indicators!$I$2:$I$1491,MATCH(BC$1,[1]indicators!$C$2:$C$1491,0),1)</f>
        <v>indCr115.UAA1 March</v>
      </c>
      <c r="BD2" s="1" t="str">
        <f>INDEX([1]indicators!$I$2:$I$1491,MATCH(BD$1,[1]indicators!$C$2:$C$1491,0),1)</f>
        <v>indCr116.UAA1 Apr</v>
      </c>
      <c r="BE2" s="1" t="str">
        <f>INDEX([1]indicators!$I$2:$I$1491,MATCH(BE$1,[1]indicators!$C$2:$C$1491,0),1)</f>
        <v>indCr117.UAA1 May</v>
      </c>
      <c r="BF2" s="1" t="str">
        <f>INDEX([1]indicators!$I$2:$I$1491,MATCH(BF$1,[1]indicators!$C$2:$C$1491,0),1)</f>
        <v>indCr118.UAA1 June</v>
      </c>
      <c r="BG2" s="1" t="str">
        <f>INDEX([1]indicators!$I$2:$I$1491,MATCH(BG$1,[1]indicators!$C$2:$C$1491,0),1)</f>
        <v>indCr119.UAA1 July</v>
      </c>
      <c r="BH2" s="1" t="str">
        <f>INDEX([1]indicators!$I$2:$I$1491,MATCH(BH$1,[1]indicators!$C$2:$C$1491,0),1)</f>
        <v>indCr120.UAA1 Aug</v>
      </c>
      <c r="BI2" s="1" t="str">
        <f>INDEX([1]indicators!$I$2:$I$1491,MATCH(BI$1,[1]indicators!$C$2:$C$1491,0),1)</f>
        <v>indCr121.UAA1 Sept</v>
      </c>
      <c r="BJ2" s="1" t="str">
        <f>INDEX([1]indicators!$I$2:$I$1491,MATCH(BJ$1,[1]indicators!$C$2:$C$1491,0),1)</f>
        <v>indCr122.UAA1 Oct</v>
      </c>
      <c r="BK2" s="1" t="str">
        <f>INDEX([1]indicators!$I$2:$I$1491,MATCH(BK$1,[1]indicators!$C$2:$C$1491,0),1)</f>
        <v>indCr123.UAA1 Nov</v>
      </c>
      <c r="BL2" s="1" t="str">
        <f>INDEX([1]indicators!$I$2:$I$1491,MATCH(BL$1,[1]indicators!$C$2:$C$1491,0),1)</f>
        <v>indCr124.UAA1 Dec</v>
      </c>
      <c r="BM2" s="1" t="str">
        <f>INDEX([1]indicators!$I$2:$I$1491,MATCH(BM$1,[1]indicators!$C$2:$C$1491,0),1)</f>
        <v>indCr125.UAA1 Jan</v>
      </c>
      <c r="BN2" s="1" t="str">
        <f>INDEX([1]indicators!$I$2:$I$1491,MATCH(BN$1,[1]indicators!$C$2:$C$1491,0),1)</f>
        <v>indCr126.UAA1 Feb</v>
      </c>
      <c r="BO2" s="1" t="str">
        <f>INDEX([1]indicators!$I$2:$I$1491,MATCH(BO$1,[1]indicators!$C$2:$C$1491,0),1)</f>
        <v>indCr127.UAA1 March</v>
      </c>
      <c r="BP2" s="1" t="str">
        <f>INDEX([1]indicators!$I$2:$I$1491,MATCH(BP$1,[1]indicators!$C$2:$C$1491,0),1)</f>
        <v>indCr128.UAA1 Apr</v>
      </c>
      <c r="BQ2" s="1" t="str">
        <f>INDEX([1]indicators!$I$2:$I$1491,MATCH(BQ$1,[1]indicators!$C$2:$C$1491,0),1)</f>
        <v>indCr129.UAA1 May</v>
      </c>
      <c r="BR2" s="1" t="str">
        <f>INDEX([1]indicators!$I$2:$I$1491,MATCH(BR$1,[1]indicators!$C$2:$C$1491,0),1)</f>
        <v>indCr130.UAA1 June</v>
      </c>
      <c r="BS2" s="1" t="str">
        <f>INDEX([1]indicators!$I$2:$I$1491,MATCH(BS$1,[1]indicators!$C$2:$C$1491,0),1)</f>
        <v>indCr131.UAA1 July</v>
      </c>
      <c r="BT2" s="1" t="str">
        <f>INDEX([1]indicators!$I$2:$I$1491,MATCH(BT$1,[1]indicators!$C$2:$C$1491,0),1)</f>
        <v>indCr132.UAA1 Aug</v>
      </c>
      <c r="BU2" s="1" t="str">
        <f>INDEX([1]indicators!$I$2:$I$1491,MATCH(BU$1,[1]indicators!$C$2:$C$1491,0),1)</f>
        <v>indCr133.UAA1 Sept</v>
      </c>
      <c r="BV2" s="1" t="str">
        <f>INDEX([1]indicators!$I$2:$I$1491,MATCH(BV$1,[1]indicators!$C$2:$C$1491,0),1)</f>
        <v>indCr134.UAA1 Oct</v>
      </c>
      <c r="BW2" s="1" t="str">
        <f>INDEX([1]indicators!$I$2:$I$1491,MATCH(BW$1,[1]indicators!$C$2:$C$1491,0),1)</f>
        <v>indCr135.UAA1 Nov</v>
      </c>
      <c r="BX2" s="1" t="str">
        <f>INDEX([1]indicators!$I$2:$I$1491,MATCH(BX$1,[1]indicators!$C$2:$C$1491,0),1)</f>
        <v>indCr136.UAA1 Dec</v>
      </c>
      <c r="BY2" s="1" t="str">
        <f>INDEX([1]indicators!$I$2:$I$1491,MATCH(BY$1,[1]indicators!$C$2:$C$1491,0),1)</f>
        <v>indCr137.UAA1 Jan</v>
      </c>
      <c r="BZ2" s="1" t="str">
        <f>INDEX([1]indicators!$I$2:$I$1491,MATCH(BZ$1,[1]indicators!$C$2:$C$1491,0),1)</f>
        <v>indCr138.UAA1 Feb</v>
      </c>
      <c r="CA2" s="1" t="str">
        <f>INDEX([1]indicators!$I$2:$I$1491,MATCH(CA$1,[1]indicators!$C$2:$C$1491,0),1)</f>
        <v>indCr139.UAA1 March</v>
      </c>
      <c r="CB2" s="1" t="str">
        <f>INDEX([1]indicators!$I$2:$I$1491,MATCH(CB$1,[1]indicators!$C$2:$C$1491,0),1)</f>
        <v>indCr140.UAA1 Apr</v>
      </c>
      <c r="CC2" s="1" t="str">
        <f>INDEX([1]indicators!$I$2:$I$1491,MATCH(CC$1,[1]indicators!$C$2:$C$1491,0),1)</f>
        <v>indCr141.UAA1 May</v>
      </c>
      <c r="CD2" s="1" t="str">
        <f>INDEX([1]indicators!$I$2:$I$1491,MATCH(CD$1,[1]indicators!$C$2:$C$1491,0),1)</f>
        <v>indCr142.UAA1 June</v>
      </c>
      <c r="CE2" s="1" t="str">
        <f>INDEX([1]indicators!$I$2:$I$1491,MATCH(CE$1,[1]indicators!$C$2:$C$1491,0),1)</f>
        <v>indCr143.UAA1 July</v>
      </c>
      <c r="CF2" s="1" t="str">
        <f>INDEX([1]indicators!$I$2:$I$1491,MATCH(CF$1,[1]indicators!$C$2:$C$1491,0),1)</f>
        <v>indCr144.UAA1 Aug</v>
      </c>
      <c r="CG2" s="1" t="str">
        <f>INDEX([1]indicators!$I$2:$I$1491,MATCH(CG$1,[1]indicators!$C$2:$C$1491,0),1)</f>
        <v>indCr145.UAA1 Sept</v>
      </c>
      <c r="CH2" s="1" t="str">
        <f>INDEX([1]indicators!$I$2:$I$1491,MATCH(CH$1,[1]indicators!$C$2:$C$1491,0),1)</f>
        <v>indCr146.UAA1 Oct</v>
      </c>
      <c r="CI2" s="1" t="str">
        <f>INDEX([1]indicators!$I$2:$I$1491,MATCH(CI$1,[1]indicators!$C$2:$C$1491,0),1)</f>
        <v>indCr147.UAA1 Nov</v>
      </c>
      <c r="CJ2" s="1" t="str">
        <f>INDEX([1]indicators!$I$2:$I$1491,MATCH(CJ$1,[1]indicators!$C$2:$C$1491,0),1)</f>
        <v>indCr148.UAA1 Dec</v>
      </c>
      <c r="CK2" s="1" t="str">
        <f>INDEX([1]indicators!$I$2:$I$1491,MATCH(CK$1,[1]indicators!$C$2:$C$1491,0),1)</f>
        <v>indCr149.UAA1 Jan</v>
      </c>
      <c r="CL2" s="1" t="str">
        <f>INDEX([1]indicators!$I$2:$I$1491,MATCH(CL$1,[1]indicators!$C$2:$C$1491,0),1)</f>
        <v>indCr150.UAA1 Feb</v>
      </c>
      <c r="CM2" s="1" t="str">
        <f>INDEX([1]indicators!$I$2:$I$1491,MATCH(CM$1,[1]indicators!$C$2:$C$1491,0),1)</f>
        <v>indCr151.UAA1 March</v>
      </c>
      <c r="CN2" s="1" t="str">
        <f>INDEX([1]indicators!$I$2:$I$1491,MATCH(CN$1,[1]indicators!$C$2:$C$1491,0),1)</f>
        <v>indCr152.UAA1 Apr</v>
      </c>
      <c r="CO2" s="1" t="str">
        <f>INDEX([1]indicators!$I$2:$I$1491,MATCH(CO$1,[1]indicators!$C$2:$C$1491,0),1)</f>
        <v>indCr153.UAA1 May</v>
      </c>
      <c r="CP2" s="1" t="str">
        <f>INDEX([1]indicators!$I$2:$I$1491,MATCH(CP$1,[1]indicators!$C$2:$C$1491,0),1)</f>
        <v>indCr154.UAA1 June</v>
      </c>
      <c r="CQ2" s="1" t="str">
        <f>INDEX([1]indicators!$I$2:$I$1491,MATCH(CQ$1,[1]indicators!$C$2:$C$1491,0),1)</f>
        <v>indCr155.UAA1 July</v>
      </c>
      <c r="CR2" s="1" t="str">
        <f>INDEX([1]indicators!$I$2:$I$1491,MATCH(CR$1,[1]indicators!$C$2:$C$1491,0),1)</f>
        <v>indCr156.UAA1 Aug</v>
      </c>
      <c r="CS2" s="1" t="str">
        <f>INDEX([1]indicators!$I$2:$I$1491,MATCH(CS$1,[1]indicators!$C$2:$C$1491,0),1)</f>
        <v>indCr157.UAA1 Sept</v>
      </c>
      <c r="CT2" s="1" t="str">
        <f>INDEX([1]indicators!$I$2:$I$1491,MATCH(CT$1,[1]indicators!$C$2:$C$1491,0),1)</f>
        <v>indCr158.UAA1 Oct</v>
      </c>
      <c r="CU2" s="1" t="str">
        <f>INDEX([1]indicators!$I$2:$I$1491,MATCH(CU$1,[1]indicators!$C$2:$C$1491,0),1)</f>
        <v>indCr159.UAA1 Nov</v>
      </c>
      <c r="CV2" s="1" t="str">
        <f>INDEX([1]indicators!$I$2:$I$1491,MATCH(CV$1,[1]indicators!$C$2:$C$1491,0),1)</f>
        <v>indCr160.UAA1 Dec</v>
      </c>
      <c r="CW2" s="1" t="str">
        <f>INDEX([1]indicators!$I$2:$I$1491,MATCH(CW$1,[1]indicators!$C$2:$C$1491,0),1)</f>
        <v>indCr161.UAA1 Jan</v>
      </c>
      <c r="CX2" s="1" t="str">
        <f>INDEX([1]indicators!$I$2:$I$1491,MATCH(CX$1,[1]indicators!$C$2:$C$1491,0),1)</f>
        <v>indCr162.UAA1 Feb</v>
      </c>
      <c r="CY2" s="1" t="str">
        <f>INDEX([1]indicators!$I$2:$I$1491,MATCH(CY$1,[1]indicators!$C$2:$C$1491,0),1)</f>
        <v>indCr163.UAA1 March</v>
      </c>
      <c r="CZ2" s="1" t="str">
        <f>INDEX([1]indicators!$I$2:$I$1491,MATCH(CZ$1,[1]indicators!$C$2:$C$1491,0),1)</f>
        <v>indCr164.UAA1 Apr</v>
      </c>
      <c r="DA2" s="1" t="str">
        <f>INDEX([1]indicators!$I$2:$I$1491,MATCH(DA$1,[1]indicators!$C$2:$C$1491,0),1)</f>
        <v>indCr165.UAA1 May</v>
      </c>
      <c r="DB2" s="1" t="str">
        <f>INDEX([1]indicators!$I$2:$I$1491,MATCH(DB$1,[1]indicators!$C$2:$C$1491,0),1)</f>
        <v>indCr166.UAA1 June</v>
      </c>
      <c r="DC2" s="1" t="str">
        <f>INDEX([1]indicators!$I$2:$I$1491,MATCH(DC$1,[1]indicators!$C$2:$C$1491,0),1)</f>
        <v>indCr167.UAA1 July</v>
      </c>
      <c r="DD2" s="1" t="str">
        <f>INDEX([1]indicators!$I$2:$I$1491,MATCH(DD$1,[1]indicators!$C$2:$C$1491,0),1)</f>
        <v>indCr168.UAA1 Aug</v>
      </c>
      <c r="DE2" s="1" t="str">
        <f>INDEX([1]indicators!$I$2:$I$1491,MATCH(DE$1,[1]indicators!$C$2:$C$1491,0),1)</f>
        <v>indCr169.UAA1 Sept</v>
      </c>
      <c r="DF2" s="1" t="str">
        <f>INDEX([1]indicators!$I$2:$I$1491,MATCH(DF$1,[1]indicators!$C$2:$C$1491,0),1)</f>
        <v>indCr170.UAA1 Oct</v>
      </c>
      <c r="DG2" s="1" t="str">
        <f>INDEX([1]indicators!$I$2:$I$1491,MATCH(DG$1,[1]indicators!$C$2:$C$1491,0),1)</f>
        <v>indCr171.UAA1 Nov</v>
      </c>
      <c r="DH2" s="1" t="str">
        <f>INDEX([1]indicators!$I$2:$I$1491,MATCH(DH$1,[1]indicators!$C$2:$C$1491,0),1)</f>
        <v>indCr172.UAA1 Dec</v>
      </c>
      <c r="DI2" s="1" t="str">
        <f>INDEX([1]indicators!$I$2:$I$1491,MATCH(DI$1,[1]indicators!$C$2:$C$1491,0),1)</f>
        <v>indCr173.UAA1 Jan</v>
      </c>
      <c r="DJ2" s="1" t="str">
        <f>INDEX([1]indicators!$I$2:$I$1491,MATCH(DJ$1,[1]indicators!$C$2:$C$1491,0),1)</f>
        <v>indCr174.UAA1 Feb</v>
      </c>
      <c r="DK2" s="1" t="str">
        <f>INDEX([1]indicators!$I$2:$I$1491,MATCH(DK$1,[1]indicators!$C$2:$C$1491,0),1)</f>
        <v>indCr175.UAA1 March</v>
      </c>
      <c r="DL2" s="1" t="str">
        <f>INDEX([1]indicators!$I$2:$I$1491,MATCH(DL$1,[1]indicators!$C$2:$C$1491,0),1)</f>
        <v>indCr176.UAA1 Apr</v>
      </c>
      <c r="DM2" s="1" t="str">
        <f>INDEX([1]indicators!$I$2:$I$1491,MATCH(DM$1,[1]indicators!$C$2:$C$1491,0),1)</f>
        <v>indCr177.UAA1 May</v>
      </c>
      <c r="DN2" s="1" t="str">
        <f>INDEX([1]indicators!$I$2:$I$1491,MATCH(DN$1,[1]indicators!$C$2:$C$1491,0),1)</f>
        <v>indCr178.UAA1 June</v>
      </c>
      <c r="DO2" s="1" t="str">
        <f>INDEX([1]indicators!$I$2:$I$1491,MATCH(DO$1,[1]indicators!$C$2:$C$1491,0),1)</f>
        <v>indCr179.UAA1 July</v>
      </c>
      <c r="DP2" s="1" t="str">
        <f>INDEX([1]indicators!$I$2:$I$1491,MATCH(DP$1,[1]indicators!$C$2:$C$1491,0),1)</f>
        <v>indCr180.UAA1 Aug</v>
      </c>
      <c r="DQ2" s="1" t="str">
        <f>INDEX([1]indicators!$I$2:$I$1491,MATCH(DQ$1,[1]indicators!$C$2:$C$1491,0),1)</f>
        <v>indCr181.UAA1 Sept</v>
      </c>
      <c r="DR2" s="1" t="str">
        <f>INDEX([1]indicators!$I$2:$I$1491,MATCH(DR$1,[1]indicators!$C$2:$C$1491,0),1)</f>
        <v>indCr182.UAA1 Oct</v>
      </c>
      <c r="DS2" s="1" t="str">
        <f>INDEX([1]indicators!$I$2:$I$1491,MATCH(DS$1,[1]indicators!$C$2:$C$1491,0),1)</f>
        <v>indCr183.UAA1 Nov</v>
      </c>
      <c r="DT2" s="1" t="str">
        <f>INDEX([1]indicators!$I$2:$I$1491,MATCH(DT$1,[1]indicators!$C$2:$C$1491,0),1)</f>
        <v>indCr184.UAA1 Dec</v>
      </c>
      <c r="DU2" s="1" t="str">
        <f>INDEX([1]indicators!$I$2:$I$1491,MATCH(DU$1,[1]indicators!$C$2:$C$1491,0),1)</f>
        <v>indCr185.UAA1 Jan</v>
      </c>
      <c r="DV2" s="1" t="str">
        <f>INDEX([1]indicators!$I$2:$I$1491,MATCH(DV$1,[1]indicators!$C$2:$C$1491,0),1)</f>
        <v>indCr186.UAA1 Feb</v>
      </c>
      <c r="DW2" s="1" t="str">
        <f>INDEX([1]indicators!$I$2:$I$1491,MATCH(DW$1,[1]indicators!$C$2:$C$1491,0),1)</f>
        <v>indCr187.UAA1 March</v>
      </c>
      <c r="DX2" s="1" t="str">
        <f>INDEX([1]indicators!$I$2:$I$1491,MATCH(DX$1,[1]indicators!$C$2:$C$1491,0),1)</f>
        <v>indCr188.UAA1 Apr</v>
      </c>
      <c r="DY2" s="1" t="str">
        <f>INDEX([1]indicators!$I$2:$I$1491,MATCH(DY$1,[1]indicators!$C$2:$C$1491,0),1)</f>
        <v>indCr189.UAA1 May</v>
      </c>
      <c r="DZ2" s="1" t="str">
        <f>INDEX([1]indicators!$I$2:$I$1491,MATCH(DZ$1,[1]indicators!$C$2:$C$1491,0),1)</f>
        <v>indCr190.UAA1 June</v>
      </c>
      <c r="EA2" s="1" t="str">
        <f>INDEX([1]indicators!$I$2:$I$1491,MATCH(EA$1,[1]indicators!$C$2:$C$1491,0),1)</f>
        <v>indCr191.UAA1 July</v>
      </c>
      <c r="EB2" s="1" t="str">
        <f>INDEX([1]indicators!$I$2:$I$1491,MATCH(EB$1,[1]indicators!$C$2:$C$1491,0),1)</f>
        <v>indCr192.UAA1 Aug</v>
      </c>
      <c r="EC2" s="1" t="str">
        <f>INDEX([1]indicators!$I$2:$I$1491,MATCH(EC$1,[1]indicators!$C$2:$C$1491,0),1)</f>
        <v>indCr193.UAA1 Sept</v>
      </c>
      <c r="ED2" s="1" t="str">
        <f>INDEX([1]indicators!$I$2:$I$1491,MATCH(ED$1,[1]indicators!$C$2:$C$1491,0),1)</f>
        <v>indCr194.UAA1 Oct</v>
      </c>
      <c r="EE2" s="1" t="str">
        <f>INDEX([1]indicators!$I$2:$I$1491,MATCH(EE$1,[1]indicators!$C$2:$C$1491,0),1)</f>
        <v>indCr195.UAA1 Nov</v>
      </c>
      <c r="EF2" s="1" t="str">
        <f>INDEX([1]indicators!$I$2:$I$1491,MATCH(EF$1,[1]indicators!$C$2:$C$1491,0),1)</f>
        <v>indCr196.UAA1 Dec</v>
      </c>
      <c r="EG2" s="1" t="str">
        <f>INDEX([1]indicators!$I$2:$I$1491,MATCH(EG$1,[1]indicators!$C$2:$C$1491,0),1)</f>
        <v>indCr197.UAA1 Jan</v>
      </c>
      <c r="EH2" s="1" t="str">
        <f>INDEX([1]indicators!$I$2:$I$1491,MATCH(EH$1,[1]indicators!$C$2:$C$1491,0),1)</f>
        <v>indCr198.UAA1 Feb</v>
      </c>
      <c r="EI2" s="1" t="str">
        <f>INDEX([1]indicators!$I$2:$I$1491,MATCH(EI$1,[1]indicators!$C$2:$C$1491,0),1)</f>
        <v>indCr199.UAA1 March</v>
      </c>
      <c r="EJ2" s="1" t="str">
        <f>INDEX([1]indicators!$I$2:$I$1491,MATCH(EJ$1,[1]indicators!$C$2:$C$1491,0),1)</f>
        <v>indCr200.UAA1 Apr</v>
      </c>
      <c r="EK2" s="1" t="str">
        <f>INDEX([1]indicators!$I$2:$I$1491,MATCH(EK$1,[1]indicators!$C$2:$C$1491,0),1)</f>
        <v>indCr201.UAA1 May</v>
      </c>
      <c r="EL2" s="1" t="str">
        <f>INDEX([1]indicators!$I$2:$I$1491,MATCH(EL$1,[1]indicators!$C$2:$C$1491,0),1)</f>
        <v>indCr202.UAA1 June</v>
      </c>
      <c r="EM2" s="1" t="str">
        <f>INDEX([1]indicators!$I$2:$I$1491,MATCH(EM$1,[1]indicators!$C$2:$C$1491,0),1)</f>
        <v>indCr203.UAA1 July</v>
      </c>
      <c r="EN2" s="1" t="str">
        <f>INDEX([1]indicators!$I$2:$I$1491,MATCH(EN$1,[1]indicators!$C$2:$C$1491,0),1)</f>
        <v>indCr204.UAA1 Aug</v>
      </c>
      <c r="EO2" s="1" t="str">
        <f>INDEX([1]indicators!$I$2:$I$1491,MATCH(EO$1,[1]indicators!$C$2:$C$1491,0),1)</f>
        <v>indCr205.UAA1 Sept</v>
      </c>
      <c r="EP2" s="1" t="str">
        <f>INDEX([1]indicators!$I$2:$I$1491,MATCH(EP$1,[1]indicators!$C$2:$C$1491,0),1)</f>
        <v>indCr206.UAA1 Oct</v>
      </c>
      <c r="EQ2" s="1" t="str">
        <f>INDEX([1]indicators!$I$2:$I$1491,MATCH(EQ$1,[1]indicators!$C$2:$C$1491,0),1)</f>
        <v>indCr207.UAA1 Nov</v>
      </c>
      <c r="ER2" s="1" t="str">
        <f>INDEX([1]indicators!$I$2:$I$1491,MATCH(ER$1,[1]indicators!$C$2:$C$1491,0),1)</f>
        <v>indCr208.UAA1 Dec</v>
      </c>
      <c r="ES2" s="1" t="str">
        <f>INDEX([1]indicators!$I$2:$I$1491,MATCH(ES$1,[1]indicators!$C$2:$C$1491,0),1)</f>
        <v>indCr209.UAA1 Jan</v>
      </c>
      <c r="ET2" s="1" t="str">
        <f>INDEX([1]indicators!$I$2:$I$1491,MATCH(ET$1,[1]indicators!$C$2:$C$1491,0),1)</f>
        <v>indCr210.UAA1 Feb</v>
      </c>
      <c r="EU2" s="1" t="str">
        <f>INDEX([1]indicators!$I$2:$I$1491,MATCH(EU$1,[1]indicators!$C$2:$C$1491,0),1)</f>
        <v>indCr211.UAA1 March</v>
      </c>
      <c r="EV2" s="1" t="str">
        <f>INDEX([1]indicators!$I$2:$I$1491,MATCH(EV$1,[1]indicators!$C$2:$C$1491,0),1)</f>
        <v>indCr212.UAA1 Apr</v>
      </c>
      <c r="EW2" s="1" t="str">
        <f>INDEX([1]indicators!$I$2:$I$1491,MATCH(EW$1,[1]indicators!$C$2:$C$1491,0),1)</f>
        <v>indCr213.UAA1 May</v>
      </c>
      <c r="EX2" s="1" t="str">
        <f>INDEX([1]indicators!$I$2:$I$1491,MATCH(EX$1,[1]indicators!$C$2:$C$1491,0),1)</f>
        <v>indCr214.UAA1 June</v>
      </c>
      <c r="EY2" s="1" t="str">
        <f>INDEX([1]indicators!$I$2:$I$1491,MATCH(EY$1,[1]indicators!$C$2:$C$1491,0),1)</f>
        <v>indCr215.UAA1 July</v>
      </c>
      <c r="EZ2" s="1" t="str">
        <f>INDEX([1]indicators!$I$2:$I$1491,MATCH(EZ$1,[1]indicators!$C$2:$C$1491,0),1)</f>
        <v>indCr216.UAA1 Aug</v>
      </c>
      <c r="FA2" s="1" t="str">
        <f>INDEX([1]indicators!$I$2:$I$1491,MATCH(FA$1,[1]indicators!$C$2:$C$1491,0),1)</f>
        <v>indCr217.UAA1 Sept</v>
      </c>
      <c r="FB2" s="1" t="str">
        <f>INDEX([1]indicators!$I$2:$I$1491,MATCH(FB$1,[1]indicators!$C$2:$C$1491,0),1)</f>
        <v>indCr218.UAA1 Oct</v>
      </c>
      <c r="FC2" s="1" t="str">
        <f>INDEX([1]indicators!$I$2:$I$1491,MATCH(FC$1,[1]indicators!$C$2:$C$1491,0),1)</f>
        <v>indCr219.UAA1 Nov</v>
      </c>
      <c r="FD2" s="1" t="str">
        <f>INDEX([1]indicators!$I$2:$I$1491,MATCH(FD$1,[1]indicators!$C$2:$C$1491,0),1)</f>
        <v>indCr220.UAA1 Dec</v>
      </c>
      <c r="FE2" s="1" t="str">
        <f>INDEX([1]indicators!$I$2:$I$1491,MATCH(FE$1,[1]indicators!$C$2:$C$1491,0),1)</f>
        <v>indCr89.UAA2 Jan</v>
      </c>
      <c r="FF2" s="1" t="str">
        <f>INDEX([1]indicators!$I$2:$I$1491,MATCH(FF$1,[1]indicators!$C$2:$C$1491,0),1)</f>
        <v>indCr90.UAA2 Feb</v>
      </c>
      <c r="FG2" s="1" t="str">
        <f>INDEX([1]indicators!$I$2:$I$1491,MATCH(FG$1,[1]indicators!$C$2:$C$1491,0),1)</f>
        <v>indCr91.UAA2 March</v>
      </c>
      <c r="FH2" s="1" t="str">
        <f>INDEX([1]indicators!$I$2:$I$1491,MATCH(FH$1,[1]indicators!$C$2:$C$1491,0),1)</f>
        <v>indCr92.UAA2 Apr</v>
      </c>
      <c r="FI2" s="1" t="str">
        <f>INDEX([1]indicators!$I$2:$I$1491,MATCH(FI$1,[1]indicators!$C$2:$C$1491,0),1)</f>
        <v>indCr93.UAA2 May</v>
      </c>
      <c r="FJ2" s="1" t="str">
        <f>INDEX([1]indicators!$I$2:$I$1491,MATCH(FJ$1,[1]indicators!$C$2:$C$1491,0),1)</f>
        <v>indCr94.UAA2 June</v>
      </c>
      <c r="FK2" s="1" t="str">
        <f>INDEX([1]indicators!$I$2:$I$1491,MATCH(FK$1,[1]indicators!$C$2:$C$1491,0),1)</f>
        <v>indCr95.UAA2 July</v>
      </c>
      <c r="FL2" s="1" t="str">
        <f>INDEX([1]indicators!$I$2:$I$1491,MATCH(FL$1,[1]indicators!$C$2:$C$1491,0),1)</f>
        <v>indCr96.UAA2 Aug</v>
      </c>
      <c r="FM2" s="1" t="str">
        <f>INDEX([1]indicators!$I$2:$I$1491,MATCH(FM$1,[1]indicators!$C$2:$C$1491,0),1)</f>
        <v>indCr97.UAA2 Sept</v>
      </c>
      <c r="FN2" s="1" t="str">
        <f>INDEX([1]indicators!$I$2:$I$1491,MATCH(FN$1,[1]indicators!$C$2:$C$1491,0),1)</f>
        <v>indCr98.UAA2 Oct</v>
      </c>
      <c r="FO2" s="1" t="str">
        <f>INDEX([1]indicators!$I$2:$I$1491,MATCH(FO$1,[1]indicators!$C$2:$C$1491,0),1)</f>
        <v>indCr99.UAA2 Nov</v>
      </c>
      <c r="FP2" s="1" t="str">
        <f>INDEX([1]indicators!$I$2:$I$1491,MATCH(FP$1,[1]indicators!$C$2:$C$1491,0),1)</f>
        <v>indCr100.UAA2 Dec</v>
      </c>
      <c r="FQ2" s="1" t="str">
        <f>INDEX([1]indicators!$I$2:$I$1491,MATCH(FQ$1,[1]indicators!$C$2:$C$1491,0),1)</f>
        <v>indCr101.UAA2 Jan</v>
      </c>
      <c r="FR2" s="1" t="str">
        <f>INDEX([1]indicators!$I$2:$I$1491,MATCH(FR$1,[1]indicators!$C$2:$C$1491,0),1)</f>
        <v>indCr102.UAA2 Feb</v>
      </c>
      <c r="FS2" s="1" t="str">
        <f>INDEX([1]indicators!$I$2:$I$1491,MATCH(FS$1,[1]indicators!$C$2:$C$1491,0),1)</f>
        <v>indCr103.UAA2 March</v>
      </c>
      <c r="FT2" s="1" t="str">
        <f>INDEX([1]indicators!$I$2:$I$1491,MATCH(FT$1,[1]indicators!$C$2:$C$1491,0),1)</f>
        <v>indCr104.UAA2 Apr</v>
      </c>
      <c r="FU2" s="1" t="str">
        <f>INDEX([1]indicators!$I$2:$I$1491,MATCH(FU$1,[1]indicators!$C$2:$C$1491,0),1)</f>
        <v>indCr105.UAA2 May</v>
      </c>
      <c r="FV2" s="1" t="str">
        <f>INDEX([1]indicators!$I$2:$I$1491,MATCH(FV$1,[1]indicators!$C$2:$C$1491,0),1)</f>
        <v>indCr106.UAA2 June</v>
      </c>
      <c r="FW2" s="1" t="str">
        <f>INDEX([1]indicators!$I$2:$I$1491,MATCH(FW$1,[1]indicators!$C$2:$C$1491,0),1)</f>
        <v>indCr107.UAA2 July</v>
      </c>
      <c r="FX2" s="1" t="str">
        <f>INDEX([1]indicators!$I$2:$I$1491,MATCH(FX$1,[1]indicators!$C$2:$C$1491,0),1)</f>
        <v>indCr108.UAA2 Aug</v>
      </c>
      <c r="FY2" s="1" t="str">
        <f>INDEX([1]indicators!$I$2:$I$1491,MATCH(FY$1,[1]indicators!$C$2:$C$1491,0),1)</f>
        <v>indCr109.UAA2 Sept</v>
      </c>
      <c r="FZ2" s="1" t="str">
        <f>INDEX([1]indicators!$I$2:$I$1491,MATCH(FZ$1,[1]indicators!$C$2:$C$1491,0),1)</f>
        <v>indCr110.UAA2 Oct</v>
      </c>
      <c r="GA2" s="1" t="str">
        <f>INDEX([1]indicators!$I$2:$I$1491,MATCH(GA$1,[1]indicators!$C$2:$C$1491,0),1)</f>
        <v>indCr111.UAA2 Nov</v>
      </c>
      <c r="GB2" s="1" t="str">
        <f>INDEX([1]indicators!$I$2:$I$1491,MATCH(GB$1,[1]indicators!$C$2:$C$1491,0),1)</f>
        <v>indCr112.UAA2 Dec</v>
      </c>
      <c r="GC2" s="1" t="str">
        <f>INDEX([1]indicators!$I$2:$I$1491,MATCH(GC$1,[1]indicators!$C$2:$C$1491,0),1)</f>
        <v>indCr113.UAA2 Jan</v>
      </c>
      <c r="GD2" s="1" t="str">
        <f>INDEX([1]indicators!$I$2:$I$1491,MATCH(GD$1,[1]indicators!$C$2:$C$1491,0),1)</f>
        <v>indCr114.UAA2 Feb</v>
      </c>
      <c r="GE2" s="1" t="str">
        <f>INDEX([1]indicators!$I$2:$I$1491,MATCH(GE$1,[1]indicators!$C$2:$C$1491,0),1)</f>
        <v>indCr115.UAA2 March</v>
      </c>
      <c r="GF2" s="1" t="str">
        <f>INDEX([1]indicators!$I$2:$I$1491,MATCH(GF$1,[1]indicators!$C$2:$C$1491,0),1)</f>
        <v>indCr116.UAA2 Apr</v>
      </c>
      <c r="GG2" s="1" t="str">
        <f>INDEX([1]indicators!$I$2:$I$1491,MATCH(GG$1,[1]indicators!$C$2:$C$1491,0),1)</f>
        <v>indCr117.UAA2 May</v>
      </c>
      <c r="GH2" s="1" t="str">
        <f>INDEX([1]indicators!$I$2:$I$1491,MATCH(GH$1,[1]indicators!$C$2:$C$1491,0),1)</f>
        <v>indCr118.UAA2 June</v>
      </c>
      <c r="GI2" s="1" t="str">
        <f>INDEX([1]indicators!$I$2:$I$1491,MATCH(GI$1,[1]indicators!$C$2:$C$1491,0),1)</f>
        <v>indCr119.UAA2 July</v>
      </c>
      <c r="GJ2" s="1" t="str">
        <f>INDEX([1]indicators!$I$2:$I$1491,MATCH(GJ$1,[1]indicators!$C$2:$C$1491,0),1)</f>
        <v>indCr120.UAA2 Aug</v>
      </c>
      <c r="GK2" s="1" t="str">
        <f>INDEX([1]indicators!$I$2:$I$1491,MATCH(GK$1,[1]indicators!$C$2:$C$1491,0),1)</f>
        <v>indCr121.UAA2 Sept</v>
      </c>
      <c r="GL2" s="1" t="str">
        <f>INDEX([1]indicators!$I$2:$I$1491,MATCH(GL$1,[1]indicators!$C$2:$C$1491,0),1)</f>
        <v>indCr122.UAA2 Oct</v>
      </c>
      <c r="GM2" s="1" t="str">
        <f>INDEX([1]indicators!$I$2:$I$1491,MATCH(GM$1,[1]indicators!$C$2:$C$1491,0),1)</f>
        <v>indCr123.UAA2 Nov</v>
      </c>
      <c r="GN2" s="1" t="str">
        <f>INDEX([1]indicators!$I$2:$I$1491,MATCH(GN$1,[1]indicators!$C$2:$C$1491,0),1)</f>
        <v>indCr124.UAA2 Dec</v>
      </c>
      <c r="GO2" s="1" t="str">
        <f>INDEX([1]indicators!$I$2:$I$1491,MATCH(GO$1,[1]indicators!$C$2:$C$1491,0),1)</f>
        <v>indCr125.UAA2 Jan</v>
      </c>
      <c r="GP2" s="1" t="str">
        <f>INDEX([1]indicators!$I$2:$I$1491,MATCH(GP$1,[1]indicators!$C$2:$C$1491,0),1)</f>
        <v>indCr126.UAA2 Feb</v>
      </c>
      <c r="GQ2" s="1" t="str">
        <f>INDEX([1]indicators!$I$2:$I$1491,MATCH(GQ$1,[1]indicators!$C$2:$C$1491,0),1)</f>
        <v>indCr127.UAA2 March</v>
      </c>
      <c r="GR2" s="1" t="str">
        <f>INDEX([1]indicators!$I$2:$I$1491,MATCH(GR$1,[1]indicators!$C$2:$C$1491,0),1)</f>
        <v>indCr128.UAA2 Apr</v>
      </c>
      <c r="GS2" s="1" t="str">
        <f>INDEX([1]indicators!$I$2:$I$1491,MATCH(GS$1,[1]indicators!$C$2:$C$1491,0),1)</f>
        <v>indCr129.UAA2 May</v>
      </c>
      <c r="GT2" s="1" t="str">
        <f>INDEX([1]indicators!$I$2:$I$1491,MATCH(GT$1,[1]indicators!$C$2:$C$1491,0),1)</f>
        <v>indCr130.UAA2 June</v>
      </c>
      <c r="GU2" s="1" t="str">
        <f>INDEX([1]indicators!$I$2:$I$1491,MATCH(GU$1,[1]indicators!$C$2:$C$1491,0),1)</f>
        <v>indCr131.UAA2 July</v>
      </c>
      <c r="GV2" s="1" t="str">
        <f>INDEX([1]indicators!$I$2:$I$1491,MATCH(GV$1,[1]indicators!$C$2:$C$1491,0),1)</f>
        <v>indCr132.UAA2 Aug</v>
      </c>
      <c r="GW2" s="1" t="str">
        <f>INDEX([1]indicators!$I$2:$I$1491,MATCH(GW$1,[1]indicators!$C$2:$C$1491,0),1)</f>
        <v>indCr133.UAA2 Sept</v>
      </c>
      <c r="GX2" s="1" t="str">
        <f>INDEX([1]indicators!$I$2:$I$1491,MATCH(GX$1,[1]indicators!$C$2:$C$1491,0),1)</f>
        <v>indCr134.UAA2 Oct</v>
      </c>
      <c r="GY2" s="1" t="str">
        <f>INDEX([1]indicators!$I$2:$I$1491,MATCH(GY$1,[1]indicators!$C$2:$C$1491,0),1)</f>
        <v>indCr135.UAA2 Nov</v>
      </c>
      <c r="GZ2" s="1" t="str">
        <f>INDEX([1]indicators!$I$2:$I$1491,MATCH(GZ$1,[1]indicators!$C$2:$C$1491,0),1)</f>
        <v>indCr136.UAA2 Dec</v>
      </c>
      <c r="HA2" s="1" t="str">
        <f>INDEX([1]indicators!$I$2:$I$1491,MATCH(HA$1,[1]indicators!$C$2:$C$1491,0),1)</f>
        <v>indCr137.UAA2 Jan</v>
      </c>
      <c r="HB2" s="1" t="str">
        <f>INDEX([1]indicators!$I$2:$I$1491,MATCH(HB$1,[1]indicators!$C$2:$C$1491,0),1)</f>
        <v>indCr138.UAA2 Feb</v>
      </c>
      <c r="HC2" s="1" t="str">
        <f>INDEX([1]indicators!$I$2:$I$1491,MATCH(HC$1,[1]indicators!$C$2:$C$1491,0),1)</f>
        <v>indCr139.UAA2 March</v>
      </c>
      <c r="HD2" s="1" t="str">
        <f>INDEX([1]indicators!$I$2:$I$1491,MATCH(HD$1,[1]indicators!$C$2:$C$1491,0),1)</f>
        <v>indCr140.UAA2 Apr</v>
      </c>
      <c r="HE2" s="1" t="str">
        <f>INDEX([1]indicators!$I$2:$I$1491,MATCH(HE$1,[1]indicators!$C$2:$C$1491,0),1)</f>
        <v>indCr141.UAA2 May</v>
      </c>
      <c r="HF2" s="1" t="str">
        <f>INDEX([1]indicators!$I$2:$I$1491,MATCH(HF$1,[1]indicators!$C$2:$C$1491,0),1)</f>
        <v>indCr142.UAA2 June</v>
      </c>
      <c r="HG2" s="1" t="str">
        <f>INDEX([1]indicators!$I$2:$I$1491,MATCH(HG$1,[1]indicators!$C$2:$C$1491,0),1)</f>
        <v>indCr143.UAA2 July</v>
      </c>
      <c r="HH2" s="1" t="str">
        <f>INDEX([1]indicators!$I$2:$I$1491,MATCH(HH$1,[1]indicators!$C$2:$C$1491,0),1)</f>
        <v>indCr144.UAA2 Aug</v>
      </c>
      <c r="HI2" s="1" t="str">
        <f>INDEX([1]indicators!$I$2:$I$1491,MATCH(HI$1,[1]indicators!$C$2:$C$1491,0),1)</f>
        <v>indCr145.UAA2 Sept</v>
      </c>
      <c r="HJ2" s="1" t="str">
        <f>INDEX([1]indicators!$I$2:$I$1491,MATCH(HJ$1,[1]indicators!$C$2:$C$1491,0),1)</f>
        <v>indCr146.UAA2 Oct</v>
      </c>
      <c r="HK2" s="1" t="str">
        <f>INDEX([1]indicators!$I$2:$I$1491,MATCH(HK$1,[1]indicators!$C$2:$C$1491,0),1)</f>
        <v>indCr147.UAA2 Nov</v>
      </c>
      <c r="HL2" s="1" t="str">
        <f>INDEX([1]indicators!$I$2:$I$1491,MATCH(HL$1,[1]indicators!$C$2:$C$1491,0),1)</f>
        <v>indCr148.UAA2 Dec</v>
      </c>
      <c r="HM2" s="1" t="str">
        <f>INDEX([1]indicators!$I$2:$I$1491,MATCH(HM$1,[1]indicators!$C$2:$C$1491,0),1)</f>
        <v>indCr149.UAA2 Jan</v>
      </c>
      <c r="HN2" s="1" t="str">
        <f>INDEX([1]indicators!$I$2:$I$1491,MATCH(HN$1,[1]indicators!$C$2:$C$1491,0),1)</f>
        <v>indCr150.UAA2 Feb</v>
      </c>
      <c r="HO2" s="1" t="str">
        <f>INDEX([1]indicators!$I$2:$I$1491,MATCH(HO$1,[1]indicators!$C$2:$C$1491,0),1)</f>
        <v>indCr151.UAA2 March</v>
      </c>
      <c r="HP2" s="1" t="str">
        <f>INDEX([1]indicators!$I$2:$I$1491,MATCH(HP$1,[1]indicators!$C$2:$C$1491,0),1)</f>
        <v>indCr152.UAA2 Apr</v>
      </c>
      <c r="HQ2" s="1" t="str">
        <f>INDEX([1]indicators!$I$2:$I$1491,MATCH(HQ$1,[1]indicators!$C$2:$C$1491,0),1)</f>
        <v>indCr153.UAA2 May</v>
      </c>
      <c r="HR2" s="1" t="str">
        <f>INDEX([1]indicators!$I$2:$I$1491,MATCH(HR$1,[1]indicators!$C$2:$C$1491,0),1)</f>
        <v>indCr154.UAA2 June</v>
      </c>
      <c r="HS2" s="1" t="str">
        <f>INDEX([1]indicators!$I$2:$I$1491,MATCH(HS$1,[1]indicators!$C$2:$C$1491,0),1)</f>
        <v>indCr155.UAA2 July</v>
      </c>
      <c r="HT2" s="1" t="str">
        <f>INDEX([1]indicators!$I$2:$I$1491,MATCH(HT$1,[1]indicators!$C$2:$C$1491,0),1)</f>
        <v>indCr156.UAA2 Aug</v>
      </c>
      <c r="HU2" s="1" t="str">
        <f>INDEX([1]indicators!$I$2:$I$1491,MATCH(HU$1,[1]indicators!$C$2:$C$1491,0),1)</f>
        <v>indCr157.UAA2 Sept</v>
      </c>
      <c r="HV2" s="1" t="str">
        <f>INDEX([1]indicators!$I$2:$I$1491,MATCH(HV$1,[1]indicators!$C$2:$C$1491,0),1)</f>
        <v>indCr158.UAA2 Oct</v>
      </c>
      <c r="HW2" s="1" t="str">
        <f>INDEX([1]indicators!$I$2:$I$1491,MATCH(HW$1,[1]indicators!$C$2:$C$1491,0),1)</f>
        <v>indCr159.UAA2 Nov</v>
      </c>
      <c r="HX2" s="1" t="str">
        <f>INDEX([1]indicators!$I$2:$I$1491,MATCH(HX$1,[1]indicators!$C$2:$C$1491,0),1)</f>
        <v>indCr160.UAA2 Dec</v>
      </c>
      <c r="HY2" s="1" t="str">
        <f>INDEX([1]indicators!$I$2:$I$1491,MATCH(HY$1,[1]indicators!$C$2:$C$1491,0),1)</f>
        <v>indCr161.UAA2 Jan</v>
      </c>
      <c r="HZ2" s="1" t="str">
        <f>INDEX([1]indicators!$I$2:$I$1491,MATCH(HZ$1,[1]indicators!$C$2:$C$1491,0),1)</f>
        <v>indCr162.UAA2 Feb</v>
      </c>
      <c r="IA2" s="1" t="str">
        <f>INDEX([1]indicators!$I$2:$I$1491,MATCH(IA$1,[1]indicators!$C$2:$C$1491,0),1)</f>
        <v>indCr163.UAA2 March</v>
      </c>
      <c r="IB2" s="1" t="str">
        <f>INDEX([1]indicators!$I$2:$I$1491,MATCH(IB$1,[1]indicators!$C$2:$C$1491,0),1)</f>
        <v>indCr164.UAA2 Apr</v>
      </c>
      <c r="IC2" s="1" t="str">
        <f>INDEX([1]indicators!$I$2:$I$1491,MATCH(IC$1,[1]indicators!$C$2:$C$1491,0),1)</f>
        <v>indCr165.UAA2 May</v>
      </c>
      <c r="ID2" s="1" t="str">
        <f>INDEX([1]indicators!$I$2:$I$1491,MATCH(ID$1,[1]indicators!$C$2:$C$1491,0),1)</f>
        <v>indCr166.UAA2 June</v>
      </c>
      <c r="IE2" s="1" t="str">
        <f>INDEX([1]indicators!$I$2:$I$1491,MATCH(IE$1,[1]indicators!$C$2:$C$1491,0),1)</f>
        <v>indCr167.UAA2 July</v>
      </c>
      <c r="IF2" s="1" t="str">
        <f>INDEX([1]indicators!$I$2:$I$1491,MATCH(IF$1,[1]indicators!$C$2:$C$1491,0),1)</f>
        <v>indCr168.UAA2 Aug</v>
      </c>
      <c r="IG2" s="1" t="str">
        <f>INDEX([1]indicators!$I$2:$I$1491,MATCH(IG$1,[1]indicators!$C$2:$C$1491,0),1)</f>
        <v>indCr169.UAA2 Sept</v>
      </c>
      <c r="IH2" s="1" t="str">
        <f>INDEX([1]indicators!$I$2:$I$1491,MATCH(IH$1,[1]indicators!$C$2:$C$1491,0),1)</f>
        <v>indCr170.UAA2 Oct</v>
      </c>
      <c r="II2" s="1" t="str">
        <f>INDEX([1]indicators!$I$2:$I$1491,MATCH(II$1,[1]indicators!$C$2:$C$1491,0),1)</f>
        <v>indCr171.UAA2 Nov</v>
      </c>
      <c r="IJ2" s="1" t="str">
        <f>INDEX([1]indicators!$I$2:$I$1491,MATCH(IJ$1,[1]indicators!$C$2:$C$1491,0),1)</f>
        <v>indCr172.UAA2 Dec</v>
      </c>
      <c r="IK2" s="1" t="str">
        <f>INDEX([1]indicators!$I$2:$I$1491,MATCH(IK$1,[1]indicators!$C$2:$C$1491,0),1)</f>
        <v>indCr173.UAA2 Jan</v>
      </c>
      <c r="IL2" s="1" t="str">
        <f>INDEX([1]indicators!$I$2:$I$1491,MATCH(IL$1,[1]indicators!$C$2:$C$1491,0),1)</f>
        <v>indCr174.UAA2 Feb</v>
      </c>
      <c r="IM2" s="1" t="str">
        <f>INDEX([1]indicators!$I$2:$I$1491,MATCH(IM$1,[1]indicators!$C$2:$C$1491,0),1)</f>
        <v>indCr175.UAA2 March</v>
      </c>
      <c r="IN2" s="1" t="str">
        <f>INDEX([1]indicators!$I$2:$I$1491,MATCH(IN$1,[1]indicators!$C$2:$C$1491,0),1)</f>
        <v>indCr176.UAA2 Apr</v>
      </c>
      <c r="IO2" s="1" t="str">
        <f>INDEX([1]indicators!$I$2:$I$1491,MATCH(IO$1,[1]indicators!$C$2:$C$1491,0),1)</f>
        <v>indCr177.UAA2 May</v>
      </c>
      <c r="IP2" s="1" t="str">
        <f>INDEX([1]indicators!$I$2:$I$1491,MATCH(IP$1,[1]indicators!$C$2:$C$1491,0),1)</f>
        <v>indCr178.UAA2 June</v>
      </c>
      <c r="IQ2" s="1" t="str">
        <f>INDEX([1]indicators!$I$2:$I$1491,MATCH(IQ$1,[1]indicators!$C$2:$C$1491,0),1)</f>
        <v>indCr179.UAA2 July</v>
      </c>
      <c r="IR2" s="1" t="str">
        <f>INDEX([1]indicators!$I$2:$I$1491,MATCH(IR$1,[1]indicators!$C$2:$C$1491,0),1)</f>
        <v>indCr180.UAA2 Aug</v>
      </c>
      <c r="IS2" s="1" t="str">
        <f>INDEX([1]indicators!$I$2:$I$1491,MATCH(IS$1,[1]indicators!$C$2:$C$1491,0),1)</f>
        <v>indCr181.UAA2 Sept</v>
      </c>
      <c r="IT2" s="1" t="str">
        <f>INDEX([1]indicators!$I$2:$I$1491,MATCH(IT$1,[1]indicators!$C$2:$C$1491,0),1)</f>
        <v>indCr182.UAA2 Oct</v>
      </c>
      <c r="IU2" s="1" t="str">
        <f>INDEX([1]indicators!$I$2:$I$1491,MATCH(IU$1,[1]indicators!$C$2:$C$1491,0),1)</f>
        <v>indCr183.UAA2 Nov</v>
      </c>
      <c r="IV2" s="1" t="str">
        <f>INDEX([1]indicators!$I$2:$I$1491,MATCH(IV$1,[1]indicators!$C$2:$C$1491,0),1)</f>
        <v>indCr184.UAA2 Dec</v>
      </c>
      <c r="IW2" s="1" t="str">
        <f>INDEX([1]indicators!$I$2:$I$1491,MATCH(IW$1,[1]indicators!$C$2:$C$1491,0),1)</f>
        <v>indCr185.UAA2 Jan</v>
      </c>
      <c r="IX2" s="1" t="str">
        <f>INDEX([1]indicators!$I$2:$I$1491,MATCH(IX$1,[1]indicators!$C$2:$C$1491,0),1)</f>
        <v>indCr186.UAA2 Feb</v>
      </c>
      <c r="IY2" s="1" t="str">
        <f>INDEX([1]indicators!$I$2:$I$1491,MATCH(IY$1,[1]indicators!$C$2:$C$1491,0),1)</f>
        <v>indCr187.UAA2 March</v>
      </c>
      <c r="IZ2" s="1" t="str">
        <f>INDEX([1]indicators!$I$2:$I$1491,MATCH(IZ$1,[1]indicators!$C$2:$C$1491,0),1)</f>
        <v>indCr188.UAA2 Apr</v>
      </c>
      <c r="JA2" s="1" t="str">
        <f>INDEX([1]indicators!$I$2:$I$1491,MATCH(JA$1,[1]indicators!$C$2:$C$1491,0),1)</f>
        <v>indCr189.UAA2 May</v>
      </c>
      <c r="JB2" s="1" t="str">
        <f>INDEX([1]indicators!$I$2:$I$1491,MATCH(JB$1,[1]indicators!$C$2:$C$1491,0),1)</f>
        <v>indCr190.UAA2 June</v>
      </c>
      <c r="JC2" s="1" t="str">
        <f>INDEX([1]indicators!$I$2:$I$1491,MATCH(JC$1,[1]indicators!$C$2:$C$1491,0),1)</f>
        <v>indCr191.UAA2 July</v>
      </c>
      <c r="JD2" s="1" t="str">
        <f>INDEX([1]indicators!$I$2:$I$1491,MATCH(JD$1,[1]indicators!$C$2:$C$1491,0),1)</f>
        <v>indCr192.UAA2 Aug</v>
      </c>
      <c r="JE2" s="1" t="str">
        <f>INDEX([1]indicators!$I$2:$I$1491,MATCH(JE$1,[1]indicators!$C$2:$C$1491,0),1)</f>
        <v>indCr193.UAA2 Sept</v>
      </c>
      <c r="JF2" s="1" t="str">
        <f>INDEX([1]indicators!$I$2:$I$1491,MATCH(JF$1,[1]indicators!$C$2:$C$1491,0),1)</f>
        <v>indCr194.UAA2 Oct</v>
      </c>
      <c r="JG2" s="1" t="str">
        <f>INDEX([1]indicators!$I$2:$I$1491,MATCH(JG$1,[1]indicators!$C$2:$C$1491,0),1)</f>
        <v>indCr195.UAA2 Nov</v>
      </c>
      <c r="JH2" s="1" t="str">
        <f>INDEX([1]indicators!$I$2:$I$1491,MATCH(JH$1,[1]indicators!$C$2:$C$1491,0),1)</f>
        <v>indCr196.UAA2 Dec</v>
      </c>
      <c r="JI2" s="1" t="str">
        <f>INDEX([1]indicators!$I$2:$I$1491,MATCH(JI$1,[1]indicators!$C$2:$C$1491,0),1)</f>
        <v>indCr197.UAA2 Jan</v>
      </c>
      <c r="JJ2" s="1" t="str">
        <f>INDEX([1]indicators!$I$2:$I$1491,MATCH(JJ$1,[1]indicators!$C$2:$C$1491,0),1)</f>
        <v>indCr198.UAA2 Feb</v>
      </c>
      <c r="JK2" s="1" t="str">
        <f>INDEX([1]indicators!$I$2:$I$1491,MATCH(JK$1,[1]indicators!$C$2:$C$1491,0),1)</f>
        <v>indCr199.UAA2 March</v>
      </c>
      <c r="JL2" s="1" t="str">
        <f>INDEX([1]indicators!$I$2:$I$1491,MATCH(JL$1,[1]indicators!$C$2:$C$1491,0),1)</f>
        <v>indCr200.UAA2 Apr</v>
      </c>
      <c r="JM2" s="1" t="str">
        <f>INDEX([1]indicators!$I$2:$I$1491,MATCH(JM$1,[1]indicators!$C$2:$C$1491,0),1)</f>
        <v>indCr201.UAA2 May</v>
      </c>
      <c r="JN2" s="1" t="str">
        <f>INDEX([1]indicators!$I$2:$I$1491,MATCH(JN$1,[1]indicators!$C$2:$C$1491,0),1)</f>
        <v>indCr202.UAA2 June</v>
      </c>
      <c r="JO2" s="1" t="str">
        <f>INDEX([1]indicators!$I$2:$I$1491,MATCH(JO$1,[1]indicators!$C$2:$C$1491,0),1)</f>
        <v>indCr203.UAA2 July</v>
      </c>
      <c r="JP2" s="1" t="str">
        <f>INDEX([1]indicators!$I$2:$I$1491,MATCH(JP$1,[1]indicators!$C$2:$C$1491,0),1)</f>
        <v>indCr204.UAA2 Aug</v>
      </c>
      <c r="JQ2" s="1" t="str">
        <f>INDEX([1]indicators!$I$2:$I$1491,MATCH(JQ$1,[1]indicators!$C$2:$C$1491,0),1)</f>
        <v>indCr205.UAA2 Sept</v>
      </c>
      <c r="JR2" s="1" t="str">
        <f>INDEX([1]indicators!$I$2:$I$1491,MATCH(JR$1,[1]indicators!$C$2:$C$1491,0),1)</f>
        <v>indCr206.UAA2 Oct</v>
      </c>
      <c r="JS2" s="1" t="str">
        <f>INDEX([1]indicators!$I$2:$I$1491,MATCH(JS$1,[1]indicators!$C$2:$C$1491,0),1)</f>
        <v>indCr207.UAA2 Nov</v>
      </c>
      <c r="JT2" s="1" t="str">
        <f>INDEX([1]indicators!$I$2:$I$1491,MATCH(JT$1,[1]indicators!$C$2:$C$1491,0),1)</f>
        <v>indCr208.UAA2 Dec</v>
      </c>
      <c r="JU2" s="1" t="str">
        <f>INDEX([1]indicators!$I$2:$I$1491,MATCH(JU$1,[1]indicators!$C$2:$C$1491,0),1)</f>
        <v>indCr209.UAA2 Jan</v>
      </c>
      <c r="JV2" s="1" t="str">
        <f>INDEX([1]indicators!$I$2:$I$1491,MATCH(JV$1,[1]indicators!$C$2:$C$1491,0),1)</f>
        <v>indCr210.UAA2 Feb</v>
      </c>
      <c r="JW2" s="1" t="str">
        <f>INDEX([1]indicators!$I$2:$I$1491,MATCH(JW$1,[1]indicators!$C$2:$C$1491,0),1)</f>
        <v>indCr211.UAA2 March</v>
      </c>
      <c r="JX2" s="1" t="str">
        <f>INDEX([1]indicators!$I$2:$I$1491,MATCH(JX$1,[1]indicators!$C$2:$C$1491,0),1)</f>
        <v>indCr212.UAA2 Apr</v>
      </c>
      <c r="JY2" s="1" t="str">
        <f>INDEX([1]indicators!$I$2:$I$1491,MATCH(JY$1,[1]indicators!$C$2:$C$1491,0),1)</f>
        <v>indCr213.UAA2 May</v>
      </c>
      <c r="JZ2" s="1" t="str">
        <f>INDEX([1]indicators!$I$2:$I$1491,MATCH(JZ$1,[1]indicators!$C$2:$C$1491,0),1)</f>
        <v>indCr214.UAA2 June</v>
      </c>
      <c r="KA2" s="1" t="str">
        <f>INDEX([1]indicators!$I$2:$I$1491,MATCH(KA$1,[1]indicators!$C$2:$C$1491,0),1)</f>
        <v>indCr215.UAA2 July</v>
      </c>
      <c r="KB2" s="1" t="str">
        <f>INDEX([1]indicators!$I$2:$I$1491,MATCH(KB$1,[1]indicators!$C$2:$C$1491,0),1)</f>
        <v>indCr216.UAA2 Aug</v>
      </c>
      <c r="KC2" s="1" t="str">
        <f>INDEX([1]indicators!$I$2:$I$1491,MATCH(KC$1,[1]indicators!$C$2:$C$1491,0),1)</f>
        <v>indCr217.UAA2 Sept</v>
      </c>
      <c r="KD2" s="1" t="str">
        <f>INDEX([1]indicators!$I$2:$I$1491,MATCH(KD$1,[1]indicators!$C$2:$C$1491,0),1)</f>
        <v>indCr218.UAA2 Oct</v>
      </c>
      <c r="KE2" s="1" t="str">
        <f>INDEX([1]indicators!$I$2:$I$1491,MATCH(KE$1,[1]indicators!$C$2:$C$1491,0),1)</f>
        <v>indCr219.UAA2 Nov</v>
      </c>
      <c r="KF2" s="1" t="str">
        <f>INDEX([1]indicators!$I$2:$I$1491,MATCH(KF$1,[1]indicators!$C$2:$C$1491,0),1)</f>
        <v>indCr220.UAA2 Dec</v>
      </c>
      <c r="KG2" s="1" t="str">
        <f>INDEX([1]indicators!$I$2:$I$1491,MATCH(KG$1,[1]indicators!$C$2:$C$1491,0),1)</f>
        <v>indCr221</v>
      </c>
      <c r="KH2" s="1" t="str">
        <f>INDEX([1]indicators!$I$2:$I$1491,MATCH(KH$1,[1]indicators!$C$2:$C$1491,0),1)</f>
        <v>indCr222</v>
      </c>
      <c r="KI2" s="1" t="str">
        <f>INDEX([1]indicators!$I$2:$I$1491,MATCH(KI$1,[1]indicators!$C$2:$C$1491,0),1)</f>
        <v>indCr223</v>
      </c>
      <c r="KJ2" s="1" t="str">
        <f>INDEX([1]indicators!$I$2:$I$1491,MATCH(KJ$1,[1]indicators!$C$2:$C$1491,0),1)</f>
        <v>indCr224</v>
      </c>
      <c r="KK2" s="1" t="str">
        <f>INDEX([1]indicators!$I$2:$I$1491,MATCH(KK$1,[1]indicators!$C$2:$C$1491,0),1)</f>
        <v>indCr225</v>
      </c>
      <c r="KL2" s="1" t="str">
        <f>INDEX([1]indicators!$I$2:$I$1491,MATCH(KL$1,[1]indicators!$C$2:$C$1491,0),1)</f>
        <v>indCr226</v>
      </c>
      <c r="KM2" s="1" t="str">
        <f>INDEX([1]indicators!$I$2:$I$1491,MATCH(KM$1,[1]indicators!$C$2:$C$1491,0),1)</f>
        <v>indCr227</v>
      </c>
      <c r="KN2" s="1" t="str">
        <f>INDEX([1]indicators!$I$2:$I$1491,MATCH(KN$1,[1]indicators!$C$2:$C$1491,0),1)</f>
        <v>indCr228</v>
      </c>
      <c r="KO2" s="1" t="str">
        <f>INDEX([1]indicators!$I$2:$I$1491,MATCH(KO$1,[1]indicators!$C$2:$C$1491,0),1)</f>
        <v>indCr229</v>
      </c>
      <c r="KP2" s="1" t="str">
        <f>INDEX([1]indicators!$I$2:$I$1491,MATCH(KP$1,[1]indicators!$C$2:$C$1491,0),1)</f>
        <v>indCr230</v>
      </c>
      <c r="KQ2" s="1" t="str">
        <f>INDEX([1]indicators!$I$2:$I$1491,MATCH(KQ$1,[1]indicators!$C$2:$C$1491,0),1)</f>
        <v>indCr231</v>
      </c>
      <c r="KR2" s="1" t="str">
        <f>INDEX([1]indicators!$I$2:$I$1491,MATCH(KR$1,[1]indicators!$C$2:$C$1491,0),1)</f>
        <v>indCr232</v>
      </c>
      <c r="KS2" s="1" t="str">
        <f>INDEX([1]indicators!$I$2:$I$1491,MATCH(KS$1,[1]indicators!$C$2:$C$1491,0),1)</f>
        <v>indEc1.UAA1</v>
      </c>
      <c r="KT2" s="1" t="str">
        <f>INDEX([1]indicators!$I$2:$I$1491,MATCH(KT$1,[1]indicators!$C$2:$C$1491,0),1)</f>
        <v>indEc1.UAA2</v>
      </c>
      <c r="KU2" s="1" t="str">
        <f>INDEX([1]indicators!$I$2:$I$1491,MATCH(KU$1,[1]indicators!$C$2:$C$1491,0),1)</f>
        <v>indEc2</v>
      </c>
      <c r="KV2" s="1" t="str">
        <f>INDEX([1]indicators!$I$2:$I$1491,MATCH(KV$1,[1]indicators!$C$2:$C$1491,0),1)</f>
        <v>indEc3</v>
      </c>
      <c r="KW2" s="1" t="str">
        <f>INDEX([1]indicators!$I$2:$I$1491,MATCH(KW$1,[1]indicators!$C$2:$C$1491,0),1)</f>
        <v>indEc4</v>
      </c>
      <c r="KX2" s="1" t="str">
        <f>INDEX([1]indicators!$I$2:$I$1491,MATCH(KX$1,[1]indicators!$C$2:$C$1491,0),1)</f>
        <v>indAn117</v>
      </c>
      <c r="KY2" s="1" t="str">
        <f>INDEX([1]indicators!$I$2:$I$1491,MATCH(KY$1,[1]indicators!$C$2:$C$1491,0),1)</f>
        <v>indAn118</v>
      </c>
      <c r="KZ2" s="1" t="str">
        <f>INDEX([1]indicators!$I$2:$I$1491,MATCH(KZ$1,[1]indicators!$C$2:$C$1491,0),1)</f>
        <v>indAn119</v>
      </c>
      <c r="LA2" s="1" t="str">
        <f>INDEX([1]indicators!$I$2:$I$1491,MATCH(LA$1,[1]indicators!$C$2:$C$1491,0),1)</f>
        <v>indAn120</v>
      </c>
      <c r="LB2" s="1" t="str">
        <f>INDEX([1]indicators!$I$2:$I$1491,MATCH(LB$1,[1]indicators!$C$2:$C$1491,0),1)</f>
        <v>indAn121</v>
      </c>
      <c r="LC2" s="1" t="str">
        <f>INDEX([1]indicators!$I$2:$I$1491,MATCH(LC$1,[1]indicators!$C$2:$C$1491,0),1)</f>
        <v>indAn122</v>
      </c>
      <c r="LD2" s="1" t="str">
        <f>INDEX([1]indicators!$I$2:$I$1491,MATCH(LD$1,[1]indicators!$C$2:$C$1491,0),1)</f>
        <v>indAn123</v>
      </c>
      <c r="LE2" s="1" t="str">
        <f>INDEX([1]indicators!$I$2:$I$1491,MATCH(LE$1,[1]indicators!$C$2:$C$1491,0),1)</f>
        <v>indAn124</v>
      </c>
      <c r="LF2" s="1" t="str">
        <f>INDEX([1]indicators!$I$2:$I$1491,MATCH(LF$1,[1]indicators!$C$2:$C$1491,0),1)</f>
        <v>indAn125</v>
      </c>
      <c r="LG2" s="1" t="str">
        <f>INDEX([1]indicators!$I$2:$I$1491,MATCH(LG$1,[1]indicators!$C$2:$C$1491,0),1)</f>
        <v>indAn126</v>
      </c>
      <c r="LH2" s="1" t="str">
        <f>INDEX([1]indicators!$I$2:$I$1491,MATCH(LH$1,[1]indicators!$C$2:$C$1491,0),1)</f>
        <v>indGl1</v>
      </c>
      <c r="LI2" s="1" t="str">
        <f>INDEX([1]indicators!$I$2:$I$1491,MATCH(LI$1,[1]indicators!$C$2:$C$1491,0),1)</f>
        <v>indGl2</v>
      </c>
    </row>
    <row r="3" spans="1:321" ht="15" customHeight="1" x14ac:dyDescent="0.2">
      <c r="A3" s="4" t="str">
        <f>crop!A3</f>
        <v>Conventional tillage (CT)</v>
      </c>
      <c r="B3" s="4" t="str">
        <f>crop!B3</f>
        <v>C.1.1</v>
      </c>
      <c r="C3" s="5"/>
      <c r="D3" s="24">
        <f>4.96+24.9+13.97</f>
        <v>43.83</v>
      </c>
      <c r="E3" s="24">
        <f>4.96+24.9+13.97</f>
        <v>43.83</v>
      </c>
      <c r="F3" s="24">
        <f>4.96*3+24.9+9.02</f>
        <v>48.8</v>
      </c>
      <c r="G3" s="24">
        <f>79+24</f>
        <v>103</v>
      </c>
      <c r="H3" s="24">
        <f>4.96*2+24.9+13.97</f>
        <v>48.79</v>
      </c>
      <c r="I3" s="24">
        <f>4.96+24.9+13.97</f>
        <v>43.83</v>
      </c>
      <c r="J3" s="24">
        <f>4.96+24.9+13.97</f>
        <v>43.83</v>
      </c>
      <c r="K3" s="24">
        <f>4.96*3+24.9+9.02</f>
        <v>48.8</v>
      </c>
      <c r="L3" s="23">
        <f>K3/2.5</f>
        <v>19.52</v>
      </c>
      <c r="M3" s="24">
        <f>K3</f>
        <v>48.8</v>
      </c>
      <c r="N3" s="24">
        <f>(4.96*2+24.9+9.02)/3</f>
        <v>14.613333333333335</v>
      </c>
      <c r="O3" s="24">
        <f>4.96+24.9+13.97</f>
        <v>43.83</v>
      </c>
      <c r="P3" s="24">
        <f>4.96+24.9+13.97</f>
        <v>43.83</v>
      </c>
      <c r="Q3" s="24">
        <f>4.96*3+24.9+9.02</f>
        <v>48.8</v>
      </c>
      <c r="R3" s="24">
        <f>79+24</f>
        <v>103</v>
      </c>
      <c r="S3" s="24">
        <f>4.96*2+24.9+13.97</f>
        <v>48.79</v>
      </c>
      <c r="T3" s="24">
        <f>4.96+24.9+13.97</f>
        <v>43.83</v>
      </c>
      <c r="U3" s="24">
        <f>4.96+24.9+13.97</f>
        <v>43.83</v>
      </c>
      <c r="V3" s="24">
        <f>4.96*3+24.9+9.02</f>
        <v>48.8</v>
      </c>
      <c r="W3" s="23">
        <f>V3/2.5</f>
        <v>19.52</v>
      </c>
      <c r="X3" s="24">
        <f>V3</f>
        <v>48.8</v>
      </c>
      <c r="Y3" s="24">
        <f>(4.96*2+24.9+9.02)/3</f>
        <v>14.613333333333335</v>
      </c>
      <c r="Z3" s="23"/>
      <c r="AA3" s="17"/>
      <c r="AB3" s="17"/>
      <c r="AC3" s="24"/>
      <c r="AD3" s="24"/>
      <c r="AE3" s="24"/>
      <c r="AF3" s="24"/>
      <c r="AG3" s="24"/>
      <c r="AH3" s="24"/>
      <c r="AI3" s="24"/>
      <c r="AJ3" s="24"/>
      <c r="AK3" s="24"/>
      <c r="AL3" s="23">
        <f>0.31+1.33+0.83</f>
        <v>2.4700000000000002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3">
        <f>0.31+1.33+0.83</f>
        <v>2.4700000000000002</v>
      </c>
      <c r="AY3" s="24"/>
      <c r="AZ3" s="24"/>
      <c r="BA3" s="24"/>
      <c r="BB3" s="24"/>
      <c r="BC3" s="24">
        <f>0.31+0.67</f>
        <v>0.98</v>
      </c>
      <c r="BD3" s="24"/>
      <c r="BE3" s="24"/>
      <c r="BF3" s="24"/>
      <c r="BG3" s="24"/>
      <c r="BH3" s="24"/>
      <c r="BI3" s="24">
        <f>0.31*2+1.33</f>
        <v>1.9500000000000002</v>
      </c>
      <c r="BJ3" s="24"/>
      <c r="BK3" s="24"/>
      <c r="BL3" s="24"/>
      <c r="BM3" s="24"/>
      <c r="BN3" s="24"/>
      <c r="BO3" s="24"/>
      <c r="BP3" s="24">
        <f>0.31*3+1.33+2+2</f>
        <v>6.26</v>
      </c>
      <c r="BQ3" s="24"/>
      <c r="BR3" s="24"/>
      <c r="BS3" s="24"/>
      <c r="BT3" s="24"/>
      <c r="BU3" s="24">
        <f>2*0.31</f>
        <v>0.62</v>
      </c>
      <c r="BV3" s="24"/>
      <c r="BW3" s="24"/>
      <c r="BX3" s="24"/>
      <c r="BY3" s="23"/>
      <c r="BZ3" s="23"/>
      <c r="CA3" s="23"/>
      <c r="CB3" s="23"/>
      <c r="CC3" s="23"/>
      <c r="CD3" s="23"/>
      <c r="CE3" s="23">
        <f>0.31*2</f>
        <v>0.62</v>
      </c>
      <c r="CF3" s="23">
        <f>1.33+0.83</f>
        <v>2.16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>
        <f>0.31+1.33+0.83</f>
        <v>2.4700000000000002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>
        <f>0.31+1.33+0.83</f>
        <v>2.4700000000000002</v>
      </c>
      <c r="DH3" s="23"/>
      <c r="DI3" s="23"/>
      <c r="DJ3" s="23"/>
      <c r="DK3" s="23"/>
      <c r="DL3" s="24">
        <f>0.31*2+1.33+0.67</f>
        <v>2.62</v>
      </c>
      <c r="DM3" s="23"/>
      <c r="DN3" s="23"/>
      <c r="DO3" s="23"/>
      <c r="DP3" s="23"/>
      <c r="DQ3" s="24">
        <v>0.31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4">
        <f>(0.31*3+1.33+0.67)/2.5</f>
        <v>1.1719999999999999</v>
      </c>
      <c r="EC3" s="23"/>
      <c r="ED3" s="23"/>
      <c r="EE3" s="23"/>
      <c r="EF3" s="23"/>
      <c r="EG3" s="23"/>
      <c r="EH3" s="23"/>
      <c r="EI3" s="23"/>
      <c r="EJ3" s="23"/>
      <c r="EK3" s="24">
        <f>0.31*2+1.33+0.67</f>
        <v>2.62</v>
      </c>
      <c r="EL3" s="23"/>
      <c r="EM3" s="23"/>
      <c r="EN3" s="23"/>
      <c r="EO3" s="24">
        <v>0.31</v>
      </c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4">
        <f>(0.31*2+1.33+0.67)/3</f>
        <v>0.87333333333333341</v>
      </c>
      <c r="FA3" s="23"/>
      <c r="FB3" s="23"/>
      <c r="FC3" s="23"/>
      <c r="FD3" s="23"/>
      <c r="FE3" s="24"/>
      <c r="FF3" s="24"/>
      <c r="FG3" s="24"/>
      <c r="FH3" s="24"/>
      <c r="FI3" s="24"/>
      <c r="FJ3" s="24"/>
      <c r="FK3" s="24"/>
      <c r="FL3" s="24"/>
      <c r="FM3" s="24"/>
      <c r="FN3" s="23">
        <f>0.31+1.33+0.83</f>
        <v>2.4700000000000002</v>
      </c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3">
        <f>0.31+1.33+0.83</f>
        <v>2.4700000000000002</v>
      </c>
      <c r="GA3" s="24"/>
      <c r="GB3" s="24"/>
      <c r="GC3" s="24"/>
      <c r="GD3" s="24"/>
      <c r="GE3" s="24">
        <f>0.31+0.67</f>
        <v>0.98</v>
      </c>
      <c r="GF3" s="24"/>
      <c r="GG3" s="24"/>
      <c r="GH3" s="24"/>
      <c r="GI3" s="24"/>
      <c r="GJ3" s="24"/>
      <c r="GK3" s="24">
        <f>0.31*2+1.33</f>
        <v>1.9500000000000002</v>
      </c>
      <c r="GL3" s="24"/>
      <c r="GM3" s="24"/>
      <c r="GN3" s="24"/>
      <c r="GO3" s="24"/>
      <c r="GP3" s="24"/>
      <c r="GQ3" s="24"/>
      <c r="GR3" s="24">
        <f>0.31*3+1.33+2+2</f>
        <v>6.26</v>
      </c>
      <c r="GS3" s="24"/>
      <c r="GT3" s="24"/>
      <c r="GU3" s="24"/>
      <c r="GV3" s="24"/>
      <c r="GW3" s="24">
        <f>2*0.31</f>
        <v>0.62</v>
      </c>
      <c r="GX3" s="24"/>
      <c r="GY3" s="24"/>
      <c r="GZ3" s="24"/>
      <c r="HA3" s="23"/>
      <c r="HB3" s="23"/>
      <c r="HC3" s="23"/>
      <c r="HD3" s="23"/>
      <c r="HE3" s="23"/>
      <c r="HF3" s="23"/>
      <c r="HG3" s="23">
        <f>0.31*2</f>
        <v>0.62</v>
      </c>
      <c r="HH3" s="23">
        <f>1.33+0.83</f>
        <v>2.16</v>
      </c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>
        <f>0.31+1.33+0.83</f>
        <v>2.4700000000000002</v>
      </c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>
        <f>0.31+1.33+0.83</f>
        <v>2.4700000000000002</v>
      </c>
      <c r="IJ3" s="23"/>
      <c r="IK3" s="23"/>
      <c r="IL3" s="23"/>
      <c r="IM3" s="23"/>
      <c r="IN3" s="24">
        <f>0.31*2+1.33+0.67</f>
        <v>2.62</v>
      </c>
      <c r="IO3" s="23"/>
      <c r="IP3" s="23"/>
      <c r="IQ3" s="23"/>
      <c r="IR3" s="23"/>
      <c r="IS3" s="24">
        <v>0.31</v>
      </c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4">
        <f>(0.31*3+1.33+0.67)/2.5</f>
        <v>1.1719999999999999</v>
      </c>
      <c r="JE3" s="23"/>
      <c r="JF3" s="23"/>
      <c r="JG3" s="23"/>
      <c r="JH3" s="23"/>
      <c r="JI3" s="23"/>
      <c r="JJ3" s="23"/>
      <c r="JK3" s="23"/>
      <c r="JL3" s="23"/>
      <c r="JM3" s="24">
        <f>0.31*2+1.33+0.67</f>
        <v>2.62</v>
      </c>
      <c r="JN3" s="23"/>
      <c r="JO3" s="23"/>
      <c r="JP3" s="23"/>
      <c r="JQ3" s="24">
        <v>0.31</v>
      </c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4">
        <f>(0.31*2+1.33+0.67)/3</f>
        <v>0.87333333333333341</v>
      </c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16"/>
      <c r="KT3" s="16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25"/>
    </row>
    <row r="4" spans="1:321" ht="15" customHeight="1" x14ac:dyDescent="0.2">
      <c r="A4" s="4" t="str">
        <f>crop!A4</f>
        <v>Reduced tillage (RT)</v>
      </c>
      <c r="B4" s="4" t="str">
        <f>crop!B4</f>
        <v>C.1.2</v>
      </c>
      <c r="C4" s="18"/>
      <c r="D4" s="24">
        <f>4.96+13.97</f>
        <v>18.93</v>
      </c>
      <c r="E4" s="24">
        <f>4.96+13.97</f>
        <v>18.93</v>
      </c>
      <c r="F4" s="24">
        <f>4.96*3+9.02</f>
        <v>23.9</v>
      </c>
      <c r="G4" s="24">
        <f>79-24.9+24</f>
        <v>78.099999999999994</v>
      </c>
      <c r="H4" s="24">
        <f>4.96*2+13.97</f>
        <v>23.89</v>
      </c>
      <c r="I4" s="24">
        <f>4.96*3+13.97</f>
        <v>28.85</v>
      </c>
      <c r="J4" s="24">
        <f>4.96*3+13.97</f>
        <v>28.85</v>
      </c>
      <c r="K4" s="24">
        <f>4.96*3+9.02</f>
        <v>23.9</v>
      </c>
      <c r="L4" s="23">
        <f>K4/2.5</f>
        <v>9.5599999999999987</v>
      </c>
      <c r="M4" s="24">
        <f>K4</f>
        <v>23.9</v>
      </c>
      <c r="N4" s="24">
        <f>(4.96*2+9.02)/3</f>
        <v>6.3133333333333326</v>
      </c>
      <c r="O4" s="24">
        <f>4.96+13.97</f>
        <v>18.93</v>
      </c>
      <c r="P4" s="24">
        <f>4.96+13.97</f>
        <v>18.93</v>
      </c>
      <c r="Q4" s="24">
        <f>4.96*3+9.02</f>
        <v>23.9</v>
      </c>
      <c r="R4" s="24">
        <f>79-24.9+24</f>
        <v>78.099999999999994</v>
      </c>
      <c r="S4" s="24">
        <f>4.96*2+13.97</f>
        <v>23.89</v>
      </c>
      <c r="T4" s="24">
        <f>4.96*3+13.97</f>
        <v>28.85</v>
      </c>
      <c r="U4" s="24">
        <f>4.96*3+13.97</f>
        <v>28.85</v>
      </c>
      <c r="V4" s="24">
        <f>4.96*3+9.02</f>
        <v>23.9</v>
      </c>
      <c r="W4" s="23">
        <f>V4/2.5</f>
        <v>9.5599999999999987</v>
      </c>
      <c r="X4" s="24">
        <f>V4</f>
        <v>23.9</v>
      </c>
      <c r="Y4" s="24">
        <f>(4.96*2+9.02)/3</f>
        <v>6.3133333333333326</v>
      </c>
      <c r="Z4" s="23"/>
      <c r="AA4" s="17"/>
      <c r="AB4" s="17"/>
      <c r="AC4" s="24"/>
      <c r="AD4" s="24"/>
      <c r="AE4" s="24"/>
      <c r="AF4" s="24"/>
      <c r="AG4" s="24"/>
      <c r="AH4" s="24"/>
      <c r="AI4" s="24"/>
      <c r="AJ4" s="24"/>
      <c r="AK4" s="24"/>
      <c r="AL4" s="24">
        <f>0.31+0.83</f>
        <v>1.1399999999999999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>
        <f>0.31+0.83</f>
        <v>1.1399999999999999</v>
      </c>
      <c r="AY4" s="24"/>
      <c r="AZ4" s="24"/>
      <c r="BA4" s="24"/>
      <c r="BB4" s="24"/>
      <c r="BC4" s="24">
        <f>0.31+0.67</f>
        <v>0.98</v>
      </c>
      <c r="BD4" s="24"/>
      <c r="BE4" s="24"/>
      <c r="BF4" s="24"/>
      <c r="BG4" s="24"/>
      <c r="BH4" s="24"/>
      <c r="BI4" s="24">
        <f>0.31*2</f>
        <v>0.62</v>
      </c>
      <c r="BJ4" s="24"/>
      <c r="BK4" s="24"/>
      <c r="BL4" s="24"/>
      <c r="BM4" s="24"/>
      <c r="BN4" s="24"/>
      <c r="BO4" s="24"/>
      <c r="BP4" s="24">
        <f>0.31*3+2+2</f>
        <v>4.93</v>
      </c>
      <c r="BQ4" s="24"/>
      <c r="BR4" s="24"/>
      <c r="BS4" s="24"/>
      <c r="BT4" s="24"/>
      <c r="BU4" s="24">
        <f>2*0.31</f>
        <v>0.62</v>
      </c>
      <c r="BV4" s="24"/>
      <c r="BW4" s="24"/>
      <c r="BX4" s="24"/>
      <c r="BY4" s="23"/>
      <c r="BZ4" s="23"/>
      <c r="CA4" s="23"/>
      <c r="CB4" s="23"/>
      <c r="CC4" s="23"/>
      <c r="CD4" s="23"/>
      <c r="CE4" s="24">
        <f>2*0.31</f>
        <v>0.62</v>
      </c>
      <c r="CF4" s="23">
        <v>0.83</v>
      </c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4">
        <f>0.31*3+0.83</f>
        <v>1.7599999999999998</v>
      </c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4">
        <f>0.31*3+0.83</f>
        <v>1.7599999999999998</v>
      </c>
      <c r="DH4" s="23"/>
      <c r="DI4" s="23"/>
      <c r="DJ4" s="23"/>
      <c r="DK4" s="23"/>
      <c r="DL4" s="23">
        <f>0.31*2+0.67</f>
        <v>1.29</v>
      </c>
      <c r="DM4" s="23"/>
      <c r="DN4" s="23"/>
      <c r="DO4" s="23"/>
      <c r="DP4" s="23"/>
      <c r="DQ4" s="24">
        <v>0.31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>
        <f>(0.31*3+0.67)/2.5</f>
        <v>0.64</v>
      </c>
      <c r="EC4" s="23"/>
      <c r="ED4" s="23"/>
      <c r="EE4" s="23"/>
      <c r="EF4" s="23"/>
      <c r="EG4" s="23"/>
      <c r="EH4" s="23"/>
      <c r="EI4" s="23"/>
      <c r="EJ4" s="23"/>
      <c r="EK4" s="23">
        <f>0.31*2+0.67</f>
        <v>1.29</v>
      </c>
      <c r="EL4" s="23"/>
      <c r="EM4" s="23"/>
      <c r="EN4" s="23"/>
      <c r="EO4" s="24">
        <v>0.31</v>
      </c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4">
        <f>(0.31*2+0.67)/3</f>
        <v>0.43</v>
      </c>
      <c r="FA4" s="23"/>
      <c r="FB4" s="23"/>
      <c r="FC4" s="23"/>
      <c r="FD4" s="23"/>
      <c r="FE4" s="24"/>
      <c r="FF4" s="24"/>
      <c r="FG4" s="24"/>
      <c r="FH4" s="24"/>
      <c r="FI4" s="24"/>
      <c r="FJ4" s="24"/>
      <c r="FK4" s="24"/>
      <c r="FL4" s="24"/>
      <c r="FM4" s="24"/>
      <c r="FN4" s="24">
        <f>0.31+0.83</f>
        <v>1.1399999999999999</v>
      </c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>
        <f>0.31+0.83</f>
        <v>1.1399999999999999</v>
      </c>
      <c r="GA4" s="24"/>
      <c r="GB4" s="24"/>
      <c r="GC4" s="24"/>
      <c r="GD4" s="24"/>
      <c r="GE4" s="24">
        <f>0.31+0.67</f>
        <v>0.98</v>
      </c>
      <c r="GF4" s="24"/>
      <c r="GG4" s="24"/>
      <c r="GH4" s="24"/>
      <c r="GI4" s="24"/>
      <c r="GJ4" s="24"/>
      <c r="GK4" s="24">
        <f>0.31*2</f>
        <v>0.62</v>
      </c>
      <c r="GL4" s="24"/>
      <c r="GM4" s="24"/>
      <c r="GN4" s="24"/>
      <c r="GO4" s="24"/>
      <c r="GP4" s="24"/>
      <c r="GQ4" s="24"/>
      <c r="GR4" s="24">
        <f>0.31*3+2+2</f>
        <v>4.93</v>
      </c>
      <c r="GS4" s="24"/>
      <c r="GT4" s="24"/>
      <c r="GU4" s="24"/>
      <c r="GV4" s="24"/>
      <c r="GW4" s="24">
        <f>2*0.31</f>
        <v>0.62</v>
      </c>
      <c r="GX4" s="24"/>
      <c r="GY4" s="24"/>
      <c r="GZ4" s="24"/>
      <c r="HA4" s="23"/>
      <c r="HB4" s="23"/>
      <c r="HC4" s="23"/>
      <c r="HD4" s="23"/>
      <c r="HE4" s="23"/>
      <c r="HF4" s="23"/>
      <c r="HG4" s="24">
        <f>2*0.31</f>
        <v>0.62</v>
      </c>
      <c r="HH4" s="23">
        <v>0.83</v>
      </c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4">
        <f>0.31*3+0.83</f>
        <v>1.7599999999999998</v>
      </c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4">
        <f>0.31*3+0.83</f>
        <v>1.7599999999999998</v>
      </c>
      <c r="IJ4" s="23"/>
      <c r="IK4" s="23"/>
      <c r="IL4" s="23"/>
      <c r="IM4" s="23"/>
      <c r="IN4" s="23">
        <f>0.31*2+0.67</f>
        <v>1.29</v>
      </c>
      <c r="IO4" s="23"/>
      <c r="IP4" s="23"/>
      <c r="IQ4" s="23"/>
      <c r="IR4" s="23"/>
      <c r="IS4" s="24">
        <v>0.31</v>
      </c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>
        <f>(0.31*3+0.67)/2.5</f>
        <v>0.64</v>
      </c>
      <c r="JE4" s="23"/>
      <c r="JF4" s="23"/>
      <c r="JG4" s="23"/>
      <c r="JH4" s="23"/>
      <c r="JI4" s="23"/>
      <c r="JJ4" s="23"/>
      <c r="JK4" s="23"/>
      <c r="JL4" s="23"/>
      <c r="JM4" s="23">
        <f>0.31*2+0.67</f>
        <v>1.29</v>
      </c>
      <c r="JN4" s="23"/>
      <c r="JO4" s="23"/>
      <c r="JP4" s="23"/>
      <c r="JQ4" s="24">
        <v>0.31</v>
      </c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4">
        <f>(0.31*2+0.67)/3</f>
        <v>0.43</v>
      </c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16">
        <v>0.9</v>
      </c>
      <c r="KT4" s="16">
        <v>0.9</v>
      </c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25">
        <v>-0.25</v>
      </c>
    </row>
    <row r="5" spans="1:321" ht="15" customHeight="1" x14ac:dyDescent="0.2">
      <c r="A5" s="6" t="str">
        <f>crop!A5</f>
        <v>No tillage (NT)</v>
      </c>
      <c r="B5" s="6" t="str">
        <f>crop!B5</f>
        <v>C.1.3</v>
      </c>
      <c r="C5" s="18"/>
      <c r="D5" s="24">
        <v>6</v>
      </c>
      <c r="E5" s="24">
        <v>6</v>
      </c>
      <c r="F5" s="24">
        <v>6</v>
      </c>
      <c r="G5" s="24">
        <f>24.3+7.1</f>
        <v>31.4</v>
      </c>
      <c r="H5" s="24">
        <v>6</v>
      </c>
      <c r="I5" s="24">
        <v>6</v>
      </c>
      <c r="J5" s="24">
        <v>6</v>
      </c>
      <c r="K5" s="24">
        <v>6</v>
      </c>
      <c r="L5" s="24">
        <f>K5/2.5</f>
        <v>2.4</v>
      </c>
      <c r="M5" s="24">
        <v>6</v>
      </c>
      <c r="N5" s="24">
        <f t="shared" ref="N5" si="0">K5/3</f>
        <v>2</v>
      </c>
      <c r="O5" s="24">
        <v>6</v>
      </c>
      <c r="P5" s="24">
        <v>6</v>
      </c>
      <c r="Q5" s="24">
        <v>6</v>
      </c>
      <c r="R5" s="24">
        <f>24.3+7.1</f>
        <v>31.4</v>
      </c>
      <c r="S5" s="24">
        <v>6</v>
      </c>
      <c r="T5" s="24">
        <v>6</v>
      </c>
      <c r="U5" s="24">
        <v>6</v>
      </c>
      <c r="V5" s="24">
        <v>6</v>
      </c>
      <c r="W5" s="24">
        <f>V5/2.5</f>
        <v>2.4</v>
      </c>
      <c r="X5" s="24">
        <v>6</v>
      </c>
      <c r="Y5" s="24">
        <f t="shared" ref="Y5" si="1">V5/3</f>
        <v>2</v>
      </c>
      <c r="Z5" s="23"/>
      <c r="AA5" s="17"/>
      <c r="AB5" s="17"/>
      <c r="AC5" s="24"/>
      <c r="AD5" s="24"/>
      <c r="AE5" s="24"/>
      <c r="AF5" s="24"/>
      <c r="AG5" s="24"/>
      <c r="AH5" s="24"/>
      <c r="AI5" s="24"/>
      <c r="AJ5" s="24"/>
      <c r="AK5" s="24"/>
      <c r="AL5" s="24">
        <v>0.42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>
        <v>0.42</v>
      </c>
      <c r="AY5" s="24"/>
      <c r="AZ5" s="24"/>
      <c r="BA5" s="24"/>
      <c r="BB5" s="24"/>
      <c r="BC5" s="24">
        <v>0.42</v>
      </c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>
        <f>2+2</f>
        <v>4</v>
      </c>
      <c r="BQ5" s="24"/>
      <c r="BR5" s="24"/>
      <c r="BS5" s="24"/>
      <c r="BT5" s="24"/>
      <c r="BU5" s="24"/>
      <c r="BV5" s="24"/>
      <c r="BW5" s="24"/>
      <c r="BX5" s="24"/>
      <c r="BY5" s="23"/>
      <c r="BZ5" s="23"/>
      <c r="CA5" s="23"/>
      <c r="CB5" s="23"/>
      <c r="CC5" s="23"/>
      <c r="CD5" s="23"/>
      <c r="CE5" s="23"/>
      <c r="CF5" s="24">
        <v>0.42</v>
      </c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4">
        <v>0.42</v>
      </c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4">
        <v>0.42</v>
      </c>
      <c r="DH5" s="23"/>
      <c r="DI5" s="23"/>
      <c r="DJ5" s="23"/>
      <c r="DK5" s="23"/>
      <c r="DL5" s="23">
        <v>0.42</v>
      </c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4">
        <f>0.42/2.5</f>
        <v>0.16799999999999998</v>
      </c>
      <c r="EC5" s="23"/>
      <c r="ED5" s="23"/>
      <c r="EE5" s="23"/>
      <c r="EF5" s="23"/>
      <c r="EG5" s="23"/>
      <c r="EH5" s="23"/>
      <c r="EI5" s="23"/>
      <c r="EJ5" s="23"/>
      <c r="EK5" s="23">
        <v>0.42</v>
      </c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>
        <f>0.42/3</f>
        <v>0.13999999999999999</v>
      </c>
      <c r="FA5" s="23"/>
      <c r="FB5" s="23"/>
      <c r="FC5" s="23"/>
      <c r="FD5" s="23"/>
      <c r="FE5" s="24"/>
      <c r="FF5" s="24"/>
      <c r="FG5" s="24"/>
      <c r="FH5" s="24"/>
      <c r="FI5" s="24"/>
      <c r="FJ5" s="24"/>
      <c r="FK5" s="24"/>
      <c r="FL5" s="24"/>
      <c r="FM5" s="24"/>
      <c r="FN5" s="24">
        <v>0.42</v>
      </c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>
        <v>0.42</v>
      </c>
      <c r="GA5" s="24"/>
      <c r="GB5" s="24"/>
      <c r="GC5" s="24"/>
      <c r="GD5" s="24"/>
      <c r="GE5" s="24">
        <v>0.42</v>
      </c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>
        <f>2+2</f>
        <v>4</v>
      </c>
      <c r="GS5" s="24"/>
      <c r="GT5" s="24"/>
      <c r="GU5" s="24"/>
      <c r="GV5" s="24"/>
      <c r="GW5" s="24"/>
      <c r="GX5" s="24"/>
      <c r="GY5" s="24"/>
      <c r="GZ5" s="24"/>
      <c r="HA5" s="23"/>
      <c r="HB5" s="23"/>
      <c r="HC5" s="23"/>
      <c r="HD5" s="23"/>
      <c r="HE5" s="23"/>
      <c r="HF5" s="23"/>
      <c r="HG5" s="23"/>
      <c r="HH5" s="24">
        <v>0.42</v>
      </c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4">
        <v>0.42</v>
      </c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4">
        <v>0.42</v>
      </c>
      <c r="IJ5" s="23"/>
      <c r="IK5" s="23"/>
      <c r="IL5" s="23"/>
      <c r="IM5" s="23"/>
      <c r="IN5" s="23">
        <v>0.42</v>
      </c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4">
        <f>0.42/2.5</f>
        <v>0.16799999999999998</v>
      </c>
      <c r="JE5" s="23"/>
      <c r="JF5" s="23"/>
      <c r="JG5" s="23"/>
      <c r="JH5" s="23"/>
      <c r="JI5" s="23"/>
      <c r="JJ5" s="23"/>
      <c r="JK5" s="23"/>
      <c r="JL5" s="23"/>
      <c r="JM5" s="23">
        <v>0.42</v>
      </c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>
        <f>0.42/3</f>
        <v>0.13999999999999999</v>
      </c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16">
        <v>0.8</v>
      </c>
      <c r="KT5" s="16">
        <v>0.8</v>
      </c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25">
        <v>-0.5</v>
      </c>
    </row>
    <row r="6" spans="1:321" ht="15" customHeight="1" x14ac:dyDescent="0.2">
      <c r="A6" s="7" t="str">
        <f>crop!A6</f>
        <v>Fall cover crop destructed before winter</v>
      </c>
      <c r="B6" s="7" t="str">
        <f>crop!B6</f>
        <v>C.2.1</v>
      </c>
      <c r="C6" s="18"/>
      <c r="D6" s="24">
        <v>6</v>
      </c>
      <c r="E6" s="24">
        <v>6</v>
      </c>
      <c r="F6" s="24">
        <v>6</v>
      </c>
      <c r="G6" s="24">
        <v>6</v>
      </c>
      <c r="H6" s="24">
        <v>6</v>
      </c>
      <c r="I6" s="24">
        <v>6</v>
      </c>
      <c r="J6" s="24">
        <v>6</v>
      </c>
      <c r="K6" s="24">
        <v>6</v>
      </c>
      <c r="L6" s="24"/>
      <c r="M6" s="24">
        <v>6</v>
      </c>
      <c r="N6" s="24"/>
      <c r="O6" s="24">
        <v>6</v>
      </c>
      <c r="P6" s="24">
        <v>6</v>
      </c>
      <c r="Q6" s="24">
        <v>6</v>
      </c>
      <c r="R6" s="24">
        <v>6</v>
      </c>
      <c r="S6" s="24">
        <v>6</v>
      </c>
      <c r="T6" s="24">
        <v>6</v>
      </c>
      <c r="U6" s="24">
        <v>6</v>
      </c>
      <c r="V6" s="24">
        <v>6</v>
      </c>
      <c r="W6" s="24"/>
      <c r="X6" s="24">
        <v>6</v>
      </c>
      <c r="Y6" s="24"/>
      <c r="Z6" s="23"/>
      <c r="AA6" s="17"/>
      <c r="AB6" s="17"/>
      <c r="AC6" s="24"/>
      <c r="AD6" s="24"/>
      <c r="AE6" s="24"/>
      <c r="AF6" s="24"/>
      <c r="AG6" s="24"/>
      <c r="AH6" s="24"/>
      <c r="AI6" s="24"/>
      <c r="AJ6" s="23">
        <v>0.42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3">
        <v>0.42</v>
      </c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>
        <v>0.42</v>
      </c>
      <c r="BL6" s="24"/>
      <c r="BM6" s="24"/>
      <c r="BN6" s="24"/>
      <c r="BO6" s="24"/>
      <c r="BP6" s="24"/>
      <c r="BQ6" s="24"/>
      <c r="BR6" s="24"/>
      <c r="BS6" s="24"/>
      <c r="BT6" s="24"/>
      <c r="BU6" s="24">
        <v>0.42</v>
      </c>
      <c r="BV6" s="24"/>
      <c r="BW6" s="24"/>
      <c r="BX6" s="24"/>
      <c r="BY6" s="23"/>
      <c r="BZ6" s="23"/>
      <c r="CA6" s="23"/>
      <c r="CB6" s="23"/>
      <c r="CC6" s="23"/>
      <c r="CD6" s="23"/>
      <c r="CE6" s="23"/>
      <c r="CF6" s="23">
        <v>0.42</v>
      </c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4"/>
      <c r="CR6" s="23">
        <v>0.42</v>
      </c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4"/>
      <c r="DD6" s="23">
        <v>0.42</v>
      </c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>
        <v>0.42</v>
      </c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>
        <v>0.42</v>
      </c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4"/>
      <c r="FF6" s="24"/>
      <c r="FG6" s="24"/>
      <c r="FH6" s="24"/>
      <c r="FI6" s="24"/>
      <c r="FJ6" s="24"/>
      <c r="FK6" s="24"/>
      <c r="FL6" s="23">
        <v>0.42</v>
      </c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3">
        <v>0.42</v>
      </c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>
        <v>0.42</v>
      </c>
      <c r="GN6" s="24"/>
      <c r="GO6" s="24"/>
      <c r="GP6" s="24"/>
      <c r="GQ6" s="24"/>
      <c r="GR6" s="24"/>
      <c r="GS6" s="24"/>
      <c r="GT6" s="24"/>
      <c r="GU6" s="24"/>
      <c r="GV6" s="24"/>
      <c r="GW6" s="24">
        <v>0.42</v>
      </c>
      <c r="GX6" s="24"/>
      <c r="GY6" s="24"/>
      <c r="GZ6" s="24"/>
      <c r="HA6" s="23"/>
      <c r="HB6" s="23"/>
      <c r="HC6" s="23"/>
      <c r="HD6" s="23"/>
      <c r="HE6" s="23"/>
      <c r="HF6" s="23"/>
      <c r="HG6" s="23"/>
      <c r="HH6" s="23">
        <v>0.42</v>
      </c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4"/>
      <c r="HT6" s="23">
        <v>0.42</v>
      </c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4"/>
      <c r="IF6" s="23">
        <v>0.42</v>
      </c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>
        <v>0.42</v>
      </c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>
        <v>0.42</v>
      </c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16">
        <v>1.2</v>
      </c>
      <c r="KT6" s="16">
        <v>1.2</v>
      </c>
      <c r="KU6" s="17"/>
      <c r="KV6" s="26"/>
      <c r="KW6" s="26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25"/>
    </row>
    <row r="7" spans="1:321" ht="15" customHeight="1" x14ac:dyDescent="0.2">
      <c r="A7" s="4" t="str">
        <f>crop!A7</f>
        <v>Fall cover crop destructed early spring</v>
      </c>
      <c r="B7" s="4" t="str">
        <f>crop!B7</f>
        <v>C.2.2</v>
      </c>
      <c r="C7" s="18"/>
      <c r="D7" s="24">
        <v>6</v>
      </c>
      <c r="E7" s="24">
        <v>6</v>
      </c>
      <c r="F7" s="24">
        <v>6</v>
      </c>
      <c r="G7" s="24">
        <v>6</v>
      </c>
      <c r="H7" s="24">
        <v>6</v>
      </c>
      <c r="I7" s="24">
        <v>6</v>
      </c>
      <c r="J7" s="24">
        <v>6</v>
      </c>
      <c r="K7" s="24">
        <v>6</v>
      </c>
      <c r="L7" s="24"/>
      <c r="M7" s="24">
        <v>6</v>
      </c>
      <c r="N7" s="24"/>
      <c r="O7" s="24">
        <v>6</v>
      </c>
      <c r="P7" s="24">
        <v>6</v>
      </c>
      <c r="Q7" s="24">
        <v>6</v>
      </c>
      <c r="R7" s="24">
        <v>6</v>
      </c>
      <c r="S7" s="24">
        <v>6</v>
      </c>
      <c r="T7" s="24">
        <v>6</v>
      </c>
      <c r="U7" s="24">
        <v>6</v>
      </c>
      <c r="V7" s="24">
        <v>6</v>
      </c>
      <c r="W7" s="24"/>
      <c r="X7" s="24">
        <v>6</v>
      </c>
      <c r="Y7" s="24"/>
      <c r="Z7" s="23"/>
      <c r="AA7" s="17"/>
      <c r="AB7" s="17"/>
      <c r="AC7" s="24"/>
      <c r="AD7" s="24"/>
      <c r="AE7" s="24"/>
      <c r="AF7" s="24"/>
      <c r="AG7" s="24"/>
      <c r="AH7" s="24"/>
      <c r="AI7" s="24"/>
      <c r="AJ7" s="23">
        <v>0.42</v>
      </c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3">
        <v>0.42</v>
      </c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>
        <v>0.42</v>
      </c>
      <c r="BL7" s="24"/>
      <c r="BM7" s="24"/>
      <c r="BN7" s="24"/>
      <c r="BO7" s="24"/>
      <c r="BP7" s="24"/>
      <c r="BQ7" s="24"/>
      <c r="BR7" s="24"/>
      <c r="BS7" s="24"/>
      <c r="BT7" s="24"/>
      <c r="BU7" s="24">
        <v>0.42</v>
      </c>
      <c r="BV7" s="24"/>
      <c r="BW7" s="24"/>
      <c r="BX7" s="24"/>
      <c r="BY7" s="23"/>
      <c r="BZ7" s="23"/>
      <c r="CA7" s="23"/>
      <c r="CB7" s="23"/>
      <c r="CC7" s="23"/>
      <c r="CD7" s="23"/>
      <c r="CE7" s="23"/>
      <c r="CF7" s="23">
        <v>0.42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4"/>
      <c r="CR7" s="23">
        <v>0.42</v>
      </c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4"/>
      <c r="DD7" s="23">
        <v>0.42</v>
      </c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>
        <v>0.42</v>
      </c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>
        <v>0.42</v>
      </c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4"/>
      <c r="FF7" s="24"/>
      <c r="FG7" s="24"/>
      <c r="FH7" s="24"/>
      <c r="FI7" s="24"/>
      <c r="FJ7" s="24"/>
      <c r="FK7" s="24"/>
      <c r="FL7" s="23">
        <v>0.42</v>
      </c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3">
        <v>0.42</v>
      </c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>
        <v>0.42</v>
      </c>
      <c r="GN7" s="24"/>
      <c r="GO7" s="24"/>
      <c r="GP7" s="24"/>
      <c r="GQ7" s="24"/>
      <c r="GR7" s="24"/>
      <c r="GS7" s="24"/>
      <c r="GT7" s="24"/>
      <c r="GU7" s="24"/>
      <c r="GV7" s="24"/>
      <c r="GW7" s="24">
        <v>0.42</v>
      </c>
      <c r="GX7" s="24"/>
      <c r="GY7" s="24"/>
      <c r="GZ7" s="24"/>
      <c r="HA7" s="23"/>
      <c r="HB7" s="23"/>
      <c r="HC7" s="23"/>
      <c r="HD7" s="23"/>
      <c r="HE7" s="23"/>
      <c r="HF7" s="23"/>
      <c r="HG7" s="23"/>
      <c r="HH7" s="23">
        <v>0.42</v>
      </c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4"/>
      <c r="HT7" s="23">
        <v>0.42</v>
      </c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4"/>
      <c r="IF7" s="23">
        <v>0.42</v>
      </c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>
        <v>0.42</v>
      </c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>
        <v>0.42</v>
      </c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16">
        <v>1.2</v>
      </c>
      <c r="KT7" s="16">
        <v>1.2</v>
      </c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25"/>
    </row>
    <row r="8" spans="1:321" ht="15" customHeight="1" x14ac:dyDescent="0.2">
      <c r="A8" s="6" t="str">
        <f>crop!A8</f>
        <v>Permanent soil cover</v>
      </c>
      <c r="B8" s="6" t="str">
        <f>crop!B8</f>
        <v>C.2.3</v>
      </c>
      <c r="C8" s="18"/>
      <c r="D8" s="24">
        <f>6/3</f>
        <v>2</v>
      </c>
      <c r="E8" s="24">
        <f>6/3</f>
        <v>2</v>
      </c>
      <c r="F8" s="24">
        <f t="shared" ref="F8:G8" si="2">6/3</f>
        <v>2</v>
      </c>
      <c r="G8" s="24">
        <f t="shared" si="2"/>
        <v>2</v>
      </c>
      <c r="H8" s="24">
        <f>6/3</f>
        <v>2</v>
      </c>
      <c r="I8" s="24">
        <f>6/3</f>
        <v>2</v>
      </c>
      <c r="J8" s="24">
        <v>2</v>
      </c>
      <c r="K8" s="24">
        <f>6/3</f>
        <v>2</v>
      </c>
      <c r="L8" s="24"/>
      <c r="M8" s="24">
        <f>6/3</f>
        <v>2</v>
      </c>
      <c r="N8" s="24"/>
      <c r="O8" s="24">
        <f>6/3</f>
        <v>2</v>
      </c>
      <c r="P8" s="24">
        <f>6/3</f>
        <v>2</v>
      </c>
      <c r="Q8" s="24">
        <f t="shared" ref="Q8:R8" si="3">6/3</f>
        <v>2</v>
      </c>
      <c r="R8" s="24">
        <f t="shared" si="3"/>
        <v>2</v>
      </c>
      <c r="S8" s="24">
        <f>6/3</f>
        <v>2</v>
      </c>
      <c r="T8" s="24">
        <f>6/3</f>
        <v>2</v>
      </c>
      <c r="U8" s="24">
        <v>2</v>
      </c>
      <c r="V8" s="24">
        <f>6/3</f>
        <v>2</v>
      </c>
      <c r="W8" s="24"/>
      <c r="X8" s="24">
        <f>6/3</f>
        <v>2</v>
      </c>
      <c r="Y8" s="24"/>
      <c r="Z8" s="23"/>
      <c r="AA8" s="17"/>
      <c r="AB8" s="17"/>
      <c r="AC8" s="24"/>
      <c r="AD8" s="24"/>
      <c r="AE8" s="24"/>
      <c r="AF8" s="24"/>
      <c r="AG8" s="24"/>
      <c r="AH8" s="24"/>
      <c r="AI8" s="24"/>
      <c r="AJ8" s="23">
        <f>0.42/3</f>
        <v>0.13999999999999999</v>
      </c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3">
        <f>0.42/3</f>
        <v>0.13999999999999999</v>
      </c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>
        <f>0.42/3</f>
        <v>0.13999999999999999</v>
      </c>
      <c r="BL8" s="24"/>
      <c r="BM8" s="24"/>
      <c r="BN8" s="24"/>
      <c r="BO8" s="24"/>
      <c r="BP8" s="24"/>
      <c r="BQ8" s="24"/>
      <c r="BR8" s="24"/>
      <c r="BS8" s="24"/>
      <c r="BT8" s="24"/>
      <c r="BU8" s="24">
        <f>0.42/3</f>
        <v>0.13999999999999999</v>
      </c>
      <c r="BV8" s="24"/>
      <c r="BW8" s="24"/>
      <c r="BX8" s="24"/>
      <c r="BY8" s="23"/>
      <c r="BZ8" s="23"/>
      <c r="CA8" s="23"/>
      <c r="CB8" s="23"/>
      <c r="CC8" s="23"/>
      <c r="CD8" s="23"/>
      <c r="CE8" s="23"/>
      <c r="CF8" s="24">
        <f>0.42/3</f>
        <v>0.13999999999999999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4"/>
      <c r="CR8" s="23">
        <f>0.42/3</f>
        <v>0.13999999999999999</v>
      </c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4"/>
      <c r="DD8" s="23">
        <f>0.42/3</f>
        <v>0.13999999999999999</v>
      </c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4">
        <f>0.42/3</f>
        <v>0.13999999999999999</v>
      </c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4">
        <f>0.42/3</f>
        <v>0.13999999999999999</v>
      </c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4"/>
      <c r="FF8" s="24"/>
      <c r="FG8" s="24"/>
      <c r="FH8" s="24"/>
      <c r="FI8" s="24"/>
      <c r="FJ8" s="24"/>
      <c r="FK8" s="24"/>
      <c r="FL8" s="23">
        <f>0.42/3</f>
        <v>0.13999999999999999</v>
      </c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3">
        <f>0.42/3</f>
        <v>0.13999999999999999</v>
      </c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>
        <f>0.42/3</f>
        <v>0.13999999999999999</v>
      </c>
      <c r="GN8" s="24"/>
      <c r="GO8" s="24"/>
      <c r="GP8" s="24"/>
      <c r="GQ8" s="24"/>
      <c r="GR8" s="24"/>
      <c r="GS8" s="24"/>
      <c r="GT8" s="24"/>
      <c r="GU8" s="24"/>
      <c r="GV8" s="24"/>
      <c r="GW8" s="24">
        <f>0.42/3</f>
        <v>0.13999999999999999</v>
      </c>
      <c r="GX8" s="24"/>
      <c r="GY8" s="24"/>
      <c r="GZ8" s="24"/>
      <c r="HA8" s="23"/>
      <c r="HB8" s="23"/>
      <c r="HC8" s="23"/>
      <c r="HD8" s="23"/>
      <c r="HE8" s="23"/>
      <c r="HF8" s="23"/>
      <c r="HG8" s="23"/>
      <c r="HH8" s="24">
        <f>0.42/3</f>
        <v>0.13999999999999999</v>
      </c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4"/>
      <c r="HT8" s="23">
        <f>0.42/3</f>
        <v>0.13999999999999999</v>
      </c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4"/>
      <c r="IF8" s="23">
        <f>0.42/3</f>
        <v>0.13999999999999999</v>
      </c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4">
        <f>0.42/3</f>
        <v>0.13999999999999999</v>
      </c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4">
        <f>0.42/3</f>
        <v>0.13999999999999999</v>
      </c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16">
        <v>0.8</v>
      </c>
      <c r="KT8" s="16">
        <v>0.8</v>
      </c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25">
        <v>-0.5</v>
      </c>
    </row>
    <row r="9" spans="1:321" ht="15" customHeight="1" x14ac:dyDescent="0.2">
      <c r="A9" s="7" t="str">
        <f>crop!A9</f>
        <v>Straw removal</v>
      </c>
      <c r="B9" s="7" t="str">
        <f>crop!B9</f>
        <v>C.3.1</v>
      </c>
      <c r="C9" s="18"/>
      <c r="D9" s="24">
        <f>11.7+8.94</f>
        <v>20.64</v>
      </c>
      <c r="E9" s="24">
        <f>11.7+8.94</f>
        <v>20.64</v>
      </c>
      <c r="F9" s="24"/>
      <c r="G9" s="24"/>
      <c r="H9" s="23"/>
      <c r="I9" s="23">
        <f>-20.64</f>
        <v>-20.64</v>
      </c>
      <c r="J9" s="23"/>
      <c r="K9" s="23"/>
      <c r="L9" s="23"/>
      <c r="M9" s="23"/>
      <c r="N9" s="23"/>
      <c r="O9" s="24">
        <f>11.7+8.94</f>
        <v>20.64</v>
      </c>
      <c r="P9" s="24">
        <f>11.7+8.94</f>
        <v>20.64</v>
      </c>
      <c r="Q9" s="24"/>
      <c r="R9" s="24"/>
      <c r="S9" s="23"/>
      <c r="T9" s="23">
        <f>-20.64</f>
        <v>-20.64</v>
      </c>
      <c r="U9" s="23"/>
      <c r="V9" s="23"/>
      <c r="W9" s="23"/>
      <c r="X9" s="23"/>
      <c r="Y9" s="23"/>
      <c r="Z9" s="23"/>
      <c r="AA9" s="17"/>
      <c r="AB9" s="17"/>
      <c r="AC9" s="24"/>
      <c r="AD9" s="24"/>
      <c r="AE9" s="24"/>
      <c r="AF9" s="24"/>
      <c r="AG9" s="24"/>
      <c r="AH9" s="24"/>
      <c r="AI9" s="23">
        <f>0.5+0.67</f>
        <v>1.17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3">
        <f>0.5+0.67</f>
        <v>1.17</v>
      </c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>
        <f>-(0.5+0.67)</f>
        <v>-1.17</v>
      </c>
      <c r="CR9" s="24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4"/>
      <c r="FF9" s="24"/>
      <c r="FG9" s="24"/>
      <c r="FH9" s="24"/>
      <c r="FI9" s="24"/>
      <c r="FJ9" s="24"/>
      <c r="FK9" s="23">
        <f>0.5+0.67</f>
        <v>1.17</v>
      </c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3">
        <f>0.5+0.67</f>
        <v>1.17</v>
      </c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>
        <f>-(0.5+0.67)</f>
        <v>-1.17</v>
      </c>
      <c r="HT9" s="24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16">
        <v>1.05</v>
      </c>
      <c r="KT9" s="16">
        <v>1.05</v>
      </c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25"/>
    </row>
    <row r="10" spans="1:321" ht="15" customHeight="1" x14ac:dyDescent="0.2">
      <c r="A10" s="4" t="str">
        <f>crop!A10</f>
        <v>Straw left on soil</v>
      </c>
      <c r="B10" s="4" t="str">
        <f>crop!B10</f>
        <v>C.3.2</v>
      </c>
      <c r="C10" s="18"/>
      <c r="D10" s="24">
        <f>9.02</f>
        <v>9.02</v>
      </c>
      <c r="E10" s="24">
        <f>9.02</f>
        <v>9.02</v>
      </c>
      <c r="F10" s="24"/>
      <c r="G10" s="24"/>
      <c r="H10" s="23"/>
      <c r="I10" s="23">
        <f>-9.02</f>
        <v>-9.02</v>
      </c>
      <c r="J10" s="23"/>
      <c r="K10" s="23"/>
      <c r="L10" s="23"/>
      <c r="M10" s="23"/>
      <c r="N10" s="23"/>
      <c r="O10" s="24">
        <f>9.02</f>
        <v>9.02</v>
      </c>
      <c r="P10" s="24">
        <f>9.02</f>
        <v>9.02</v>
      </c>
      <c r="Q10" s="24"/>
      <c r="R10" s="24"/>
      <c r="S10" s="23"/>
      <c r="T10" s="23">
        <f>-9.02</f>
        <v>-9.02</v>
      </c>
      <c r="U10" s="23"/>
      <c r="V10" s="23"/>
      <c r="W10" s="23"/>
      <c r="X10" s="23"/>
      <c r="Y10" s="23"/>
      <c r="Z10" s="23"/>
      <c r="AA10" s="17"/>
      <c r="AB10" s="17"/>
      <c r="AC10" s="24"/>
      <c r="AD10" s="24"/>
      <c r="AE10" s="24"/>
      <c r="AF10" s="24"/>
      <c r="AG10" s="24"/>
      <c r="AH10" s="24"/>
      <c r="AI10" s="23">
        <v>0.67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3">
        <v>0.67</v>
      </c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>
        <v>-0.67</v>
      </c>
      <c r="CR10" s="24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4"/>
      <c r="FF10" s="24"/>
      <c r="FG10" s="24"/>
      <c r="FH10" s="24"/>
      <c r="FI10" s="24"/>
      <c r="FJ10" s="24"/>
      <c r="FK10" s="23">
        <v>0.67</v>
      </c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3">
        <v>0.67</v>
      </c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>
        <v>-0.67</v>
      </c>
      <c r="HT10" s="24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16">
        <v>0.9</v>
      </c>
      <c r="KT10" s="16">
        <v>0.9</v>
      </c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25"/>
    </row>
    <row r="11" spans="1:321" ht="15" customHeight="1" x14ac:dyDescent="0.2">
      <c r="A11" s="8" t="str">
        <f>crop!A11</f>
        <v>On-farm organic fertilizers + input of mineral fertilizer</v>
      </c>
      <c r="B11" s="8" t="str">
        <f>crop!B11</f>
        <v>C.4.1</v>
      </c>
      <c r="C11" s="18"/>
      <c r="D11" s="24">
        <f>2*1.56</f>
        <v>3.12</v>
      </c>
      <c r="E11" s="24">
        <f>2*1.56</f>
        <v>3.12</v>
      </c>
      <c r="F11" s="24">
        <f>2*1.56</f>
        <v>3.12</v>
      </c>
      <c r="G11" s="24">
        <f>2*1.56</f>
        <v>3.12</v>
      </c>
      <c r="H11" s="24">
        <v>1.56</v>
      </c>
      <c r="I11" s="24">
        <f>-2*1.56</f>
        <v>-3.12</v>
      </c>
      <c r="J11" s="24"/>
      <c r="K11" s="24">
        <f>1.56*1</f>
        <v>1.56</v>
      </c>
      <c r="L11" s="23"/>
      <c r="M11" s="24">
        <f>1.56*1</f>
        <v>1.56</v>
      </c>
      <c r="N11" s="23"/>
      <c r="O11" s="24">
        <f>2*1.56</f>
        <v>3.12</v>
      </c>
      <c r="P11" s="24">
        <f>2*1.56</f>
        <v>3.12</v>
      </c>
      <c r="Q11" s="24">
        <f>2*1.56</f>
        <v>3.12</v>
      </c>
      <c r="R11" s="24">
        <f>2*1.56</f>
        <v>3.12</v>
      </c>
      <c r="S11" s="24">
        <v>1.56</v>
      </c>
      <c r="T11" s="24">
        <f>-2*1.56</f>
        <v>-3.12</v>
      </c>
      <c r="U11" s="24"/>
      <c r="V11" s="24">
        <f>1.56*1</f>
        <v>1.56</v>
      </c>
      <c r="W11" s="23"/>
      <c r="X11" s="24">
        <f>1.56*1</f>
        <v>1.56</v>
      </c>
      <c r="Y11" s="23"/>
      <c r="Z11" s="23"/>
      <c r="AA11" s="17"/>
      <c r="AB11" s="17"/>
      <c r="AC11" s="24"/>
      <c r="AD11" s="24"/>
      <c r="AE11" s="24"/>
      <c r="AF11" s="24">
        <v>0.12</v>
      </c>
      <c r="AG11" s="24">
        <v>0.12</v>
      </c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>
        <v>0.12</v>
      </c>
      <c r="AS11" s="24">
        <v>0.12</v>
      </c>
      <c r="AT11" s="24"/>
      <c r="AU11" s="24"/>
      <c r="AV11" s="24"/>
      <c r="AW11" s="24"/>
      <c r="AX11" s="24"/>
      <c r="AY11" s="24"/>
      <c r="AZ11" s="24"/>
      <c r="BA11" s="24"/>
      <c r="BB11" s="24"/>
      <c r="BC11" s="24">
        <v>0.12</v>
      </c>
      <c r="BD11" s="24"/>
      <c r="BE11" s="24"/>
      <c r="BF11" s="24"/>
      <c r="BG11" s="24"/>
      <c r="BH11" s="24"/>
      <c r="BI11" s="24">
        <v>0.12</v>
      </c>
      <c r="BJ11" s="24"/>
      <c r="BK11" s="24"/>
      <c r="BL11" s="24"/>
      <c r="BM11" s="24"/>
      <c r="BN11" s="24"/>
      <c r="BO11" s="24"/>
      <c r="BP11" s="24">
        <v>0.12</v>
      </c>
      <c r="BQ11" s="24">
        <v>0.12</v>
      </c>
      <c r="BR11" s="24"/>
      <c r="BS11" s="24"/>
      <c r="BT11" s="24"/>
      <c r="BU11" s="24"/>
      <c r="BV11" s="24"/>
      <c r="BW11" s="24"/>
      <c r="BX11" s="24"/>
      <c r="BY11" s="23"/>
      <c r="BZ11" s="23">
        <v>0.12</v>
      </c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4">
        <v>-0.12</v>
      </c>
      <c r="CO11" s="24">
        <v>-0.12</v>
      </c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>
        <v>0.12</v>
      </c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>
        <v>0.12</v>
      </c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4"/>
      <c r="FF11" s="24"/>
      <c r="FG11" s="24"/>
      <c r="FH11" s="24">
        <v>0.12</v>
      </c>
      <c r="FI11" s="24">
        <v>0.12</v>
      </c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>
        <v>0.12</v>
      </c>
      <c r="FU11" s="24">
        <v>0.12</v>
      </c>
      <c r="FV11" s="24"/>
      <c r="FW11" s="24"/>
      <c r="FX11" s="24"/>
      <c r="FY11" s="24"/>
      <c r="FZ11" s="24"/>
      <c r="GA11" s="24"/>
      <c r="GB11" s="24"/>
      <c r="GC11" s="24"/>
      <c r="GD11" s="24"/>
      <c r="GE11" s="24">
        <v>0.12</v>
      </c>
      <c r="GF11" s="24"/>
      <c r="GG11" s="24"/>
      <c r="GH11" s="24"/>
      <c r="GI11" s="24"/>
      <c r="GJ11" s="24"/>
      <c r="GK11" s="24">
        <v>0.12</v>
      </c>
      <c r="GL11" s="24"/>
      <c r="GM11" s="24"/>
      <c r="GN11" s="24"/>
      <c r="GO11" s="24"/>
      <c r="GP11" s="24"/>
      <c r="GQ11" s="24"/>
      <c r="GR11" s="24">
        <v>0.12</v>
      </c>
      <c r="GS11" s="24">
        <v>0.12</v>
      </c>
      <c r="GT11" s="24"/>
      <c r="GU11" s="24"/>
      <c r="GV11" s="24"/>
      <c r="GW11" s="24"/>
      <c r="GX11" s="24"/>
      <c r="GY11" s="24"/>
      <c r="GZ11" s="24"/>
      <c r="HA11" s="23"/>
      <c r="HB11" s="23">
        <v>0.12</v>
      </c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4">
        <v>-0.12</v>
      </c>
      <c r="HQ11" s="24">
        <v>-0.12</v>
      </c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>
        <v>0.12</v>
      </c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>
        <v>0.12</v>
      </c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16">
        <v>1.05</v>
      </c>
      <c r="KT11" s="16">
        <v>1.05</v>
      </c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25"/>
    </row>
    <row r="12" spans="1:321" ht="15" customHeight="1" x14ac:dyDescent="0.2">
      <c r="A12" s="10" t="str">
        <f>crop!A12</f>
        <v>On-farm organic fertilizers only</v>
      </c>
      <c r="B12" s="10" t="str">
        <f>crop!B12</f>
        <v>C.4.2</v>
      </c>
      <c r="C12" s="1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3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3"/>
      <c r="Z12" s="23"/>
      <c r="AA12" s="17"/>
      <c r="AB12" s="17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16"/>
      <c r="KT12" s="16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25"/>
    </row>
    <row r="13" spans="1:321" ht="15" customHeight="1" x14ac:dyDescent="0.2">
      <c r="A13" s="4" t="str">
        <f>crop!A13</f>
        <v>Systematic use of chemical fungicides</v>
      </c>
      <c r="B13" s="4" t="str">
        <f>crop!B13</f>
        <v>C.5.1</v>
      </c>
      <c r="C13" s="18"/>
      <c r="D13" s="24"/>
      <c r="E13" s="24"/>
      <c r="F13" s="24"/>
      <c r="G13" s="24"/>
      <c r="H13" s="24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3"/>
      <c r="U13" s="24"/>
      <c r="V13" s="24"/>
      <c r="W13" s="24"/>
      <c r="X13" s="24"/>
      <c r="Y13" s="24"/>
      <c r="Z13" s="23"/>
      <c r="AA13" s="17"/>
      <c r="AB13" s="17"/>
      <c r="AC13" s="24"/>
      <c r="AD13" s="24"/>
      <c r="AE13" s="24">
        <v>0.11</v>
      </c>
      <c r="AF13" s="24">
        <v>0.11</v>
      </c>
      <c r="AG13" s="24">
        <v>0.11</v>
      </c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>
        <v>0.11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>
        <v>0.11</v>
      </c>
      <c r="BH13" s="24">
        <f>0.11*2</f>
        <v>0.22</v>
      </c>
      <c r="BI13" s="24"/>
      <c r="BJ13" s="24"/>
      <c r="BK13" s="24"/>
      <c r="BL13" s="24"/>
      <c r="BM13" s="24"/>
      <c r="BN13" s="24"/>
      <c r="BO13" s="24"/>
      <c r="BP13" s="24"/>
      <c r="BQ13" s="24">
        <f>2*0.11</f>
        <v>0.22</v>
      </c>
      <c r="BR13" s="24">
        <f>4*0.11</f>
        <v>0.44</v>
      </c>
      <c r="BS13" s="24">
        <f>4*0.11</f>
        <v>0.44</v>
      </c>
      <c r="BT13" s="24">
        <f>4*0.11</f>
        <v>0.44</v>
      </c>
      <c r="BU13" s="24"/>
      <c r="BV13" s="24"/>
      <c r="BW13" s="24"/>
      <c r="BX13" s="24"/>
      <c r="BY13" s="23"/>
      <c r="BZ13" s="23"/>
      <c r="CA13" s="23"/>
      <c r="CB13" s="24">
        <v>0.11</v>
      </c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4">
        <v>0.11</v>
      </c>
      <c r="CN13" s="24">
        <v>0.11</v>
      </c>
      <c r="CO13" s="24">
        <v>-0.11</v>
      </c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>
        <v>0.11</v>
      </c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4"/>
      <c r="FF13" s="24"/>
      <c r="FG13" s="24">
        <v>0.11</v>
      </c>
      <c r="FH13" s="24">
        <v>0.11</v>
      </c>
      <c r="FI13" s="24">
        <v>0.11</v>
      </c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>
        <v>0.11</v>
      </c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>
        <v>0.11</v>
      </c>
      <c r="GJ13" s="24">
        <f>0.11*2</f>
        <v>0.22</v>
      </c>
      <c r="GK13" s="24"/>
      <c r="GL13" s="24"/>
      <c r="GM13" s="24"/>
      <c r="GN13" s="24"/>
      <c r="GO13" s="24"/>
      <c r="GP13" s="24"/>
      <c r="GQ13" s="24"/>
      <c r="GR13" s="24"/>
      <c r="GS13" s="24">
        <f>2*0.11</f>
        <v>0.22</v>
      </c>
      <c r="GT13" s="24">
        <f>4*0.11</f>
        <v>0.44</v>
      </c>
      <c r="GU13" s="24">
        <f>4*0.11</f>
        <v>0.44</v>
      </c>
      <c r="GV13" s="24">
        <f>4*0.11</f>
        <v>0.44</v>
      </c>
      <c r="GW13" s="24"/>
      <c r="GX13" s="24"/>
      <c r="GY13" s="24"/>
      <c r="GZ13" s="24"/>
      <c r="HA13" s="23"/>
      <c r="HB13" s="23"/>
      <c r="HC13" s="23"/>
      <c r="HD13" s="24">
        <v>0.11</v>
      </c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4">
        <v>0.11</v>
      </c>
      <c r="HP13" s="24">
        <v>0.11</v>
      </c>
      <c r="HQ13" s="24">
        <v>-0.11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4">
        <v>0.11</v>
      </c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16"/>
      <c r="KT13" s="16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25"/>
    </row>
    <row r="14" spans="1:321" ht="15" customHeight="1" x14ac:dyDescent="0.2">
      <c r="A14" s="4" t="str">
        <f>crop!A14</f>
        <v>Sound approach of chemical fungicides</v>
      </c>
      <c r="B14" s="4" t="str">
        <f>crop!B14</f>
        <v>C.5.2</v>
      </c>
      <c r="C14" s="18"/>
      <c r="D14" s="24"/>
      <c r="E14" s="24"/>
      <c r="F14" s="24"/>
      <c r="G14" s="24"/>
      <c r="H14" s="24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3"/>
      <c r="U14" s="24"/>
      <c r="V14" s="24"/>
      <c r="W14" s="24"/>
      <c r="X14" s="24"/>
      <c r="Y14" s="24"/>
      <c r="Z14" s="23"/>
      <c r="AA14" s="17"/>
      <c r="AB14" s="17"/>
      <c r="AC14" s="24"/>
      <c r="AD14" s="24"/>
      <c r="AE14" s="23">
        <v>0.11</v>
      </c>
      <c r="AF14" s="24">
        <v>0.11</v>
      </c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>
        <v>0.11</v>
      </c>
      <c r="BH14" s="24">
        <v>0.11</v>
      </c>
      <c r="BI14" s="24"/>
      <c r="BJ14" s="24"/>
      <c r="BK14" s="24"/>
      <c r="BL14" s="24"/>
      <c r="BM14" s="24"/>
      <c r="BN14" s="24"/>
      <c r="BO14" s="24"/>
      <c r="BP14" s="24"/>
      <c r="BQ14" s="24">
        <v>0.11</v>
      </c>
      <c r="BR14" s="24">
        <f>3*0.11</f>
        <v>0.33</v>
      </c>
      <c r="BS14" s="24">
        <f>3*0.11</f>
        <v>0.33</v>
      </c>
      <c r="BT14" s="24">
        <f>3*0.11</f>
        <v>0.33</v>
      </c>
      <c r="BU14" s="24"/>
      <c r="BV14" s="24"/>
      <c r="BW14" s="24"/>
      <c r="BX14" s="24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>
        <v>0.11</v>
      </c>
      <c r="CN14" s="24">
        <v>-0.11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4"/>
      <c r="FF14" s="24"/>
      <c r="FG14" s="23">
        <v>0.11</v>
      </c>
      <c r="FH14" s="24">
        <v>0.11</v>
      </c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>
        <v>0.11</v>
      </c>
      <c r="GJ14" s="24">
        <v>0.11</v>
      </c>
      <c r="GK14" s="24"/>
      <c r="GL14" s="24"/>
      <c r="GM14" s="24"/>
      <c r="GN14" s="24"/>
      <c r="GO14" s="24"/>
      <c r="GP14" s="24"/>
      <c r="GQ14" s="24"/>
      <c r="GR14" s="24"/>
      <c r="GS14" s="24">
        <v>0.11</v>
      </c>
      <c r="GT14" s="24">
        <f>3*0.11</f>
        <v>0.33</v>
      </c>
      <c r="GU14" s="24">
        <f>3*0.11</f>
        <v>0.33</v>
      </c>
      <c r="GV14" s="24">
        <f>3*0.11</f>
        <v>0.33</v>
      </c>
      <c r="GW14" s="24"/>
      <c r="GX14" s="24"/>
      <c r="GY14" s="24"/>
      <c r="GZ14" s="24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>
        <v>0.11</v>
      </c>
      <c r="HP14" s="24">
        <v>-0.11</v>
      </c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16">
        <v>0.9</v>
      </c>
      <c r="KT14" s="16">
        <v>0.9</v>
      </c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25">
        <v>-0.5</v>
      </c>
    </row>
    <row r="15" spans="1:321" ht="15" customHeight="1" x14ac:dyDescent="0.2">
      <c r="A15" s="4" t="str">
        <f>crop!A15</f>
        <v>Biocontrol products against diseases</v>
      </c>
      <c r="B15" s="4" t="str">
        <f>crop!B15</f>
        <v>C.5.3</v>
      </c>
      <c r="C15" s="18"/>
      <c r="D15" s="24"/>
      <c r="E15" s="24"/>
      <c r="F15" s="24"/>
      <c r="G15" s="24"/>
      <c r="H15" s="24"/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3"/>
      <c r="U15" s="24"/>
      <c r="V15" s="24"/>
      <c r="W15" s="24"/>
      <c r="X15" s="24"/>
      <c r="Y15" s="24"/>
      <c r="Z15" s="23"/>
      <c r="AA15" s="17"/>
      <c r="AB15" s="17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>
        <v>0.11</v>
      </c>
      <c r="BI15" s="24"/>
      <c r="BJ15" s="24"/>
      <c r="BK15" s="24"/>
      <c r="BL15" s="24"/>
      <c r="BM15" s="24"/>
      <c r="BN15" s="24"/>
      <c r="BO15" s="24"/>
      <c r="BP15" s="24"/>
      <c r="BQ15" s="24">
        <f>2*0.11</f>
        <v>0.22</v>
      </c>
      <c r="BR15" s="24">
        <f>4*0.11</f>
        <v>0.44</v>
      </c>
      <c r="BS15" s="24">
        <f>4*0.11</f>
        <v>0.44</v>
      </c>
      <c r="BT15" s="24">
        <f>4*0.11</f>
        <v>0.44</v>
      </c>
      <c r="BU15" s="24"/>
      <c r="BV15" s="24"/>
      <c r="BW15" s="24"/>
      <c r="BX15" s="24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>
        <v>0.11</v>
      </c>
      <c r="GK15" s="24"/>
      <c r="GL15" s="24"/>
      <c r="GM15" s="24"/>
      <c r="GN15" s="24"/>
      <c r="GO15" s="24"/>
      <c r="GP15" s="24"/>
      <c r="GQ15" s="24"/>
      <c r="GR15" s="24"/>
      <c r="GS15" s="24">
        <f>2*0.11</f>
        <v>0.22</v>
      </c>
      <c r="GT15" s="24">
        <f>4*0.11</f>
        <v>0.44</v>
      </c>
      <c r="GU15" s="24">
        <f>4*0.11</f>
        <v>0.44</v>
      </c>
      <c r="GV15" s="24">
        <f>4*0.11</f>
        <v>0.44</v>
      </c>
      <c r="GW15" s="24"/>
      <c r="GX15" s="24"/>
      <c r="GY15" s="24"/>
      <c r="GZ15" s="24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16">
        <v>0.85</v>
      </c>
      <c r="KT15" s="16">
        <v>0.85</v>
      </c>
      <c r="KU15" s="17"/>
      <c r="KV15" s="16">
        <v>1</v>
      </c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25">
        <v>-0.5</v>
      </c>
    </row>
    <row r="16" spans="1:321" ht="15" customHeight="1" x14ac:dyDescent="0.2">
      <c r="A16" s="6" t="str">
        <f>crop!A16</f>
        <v>No direct protection against diseases</v>
      </c>
      <c r="B16" s="6" t="str">
        <f>crop!B16</f>
        <v>C.5.4</v>
      </c>
      <c r="C16" s="18"/>
      <c r="D16" s="24"/>
      <c r="E16" s="24"/>
      <c r="F16" s="24"/>
      <c r="G16" s="24"/>
      <c r="H16" s="24"/>
      <c r="I16" s="2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3"/>
      <c r="U16" s="24"/>
      <c r="V16" s="24"/>
      <c r="W16" s="24"/>
      <c r="X16" s="24"/>
      <c r="Y16" s="24"/>
      <c r="Z16" s="23"/>
      <c r="AA16" s="17"/>
      <c r="AB16" s="17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16">
        <v>0.8</v>
      </c>
      <c r="KT16" s="16">
        <v>0.8</v>
      </c>
      <c r="KU16" s="17"/>
      <c r="KV16" s="16">
        <v>1</v>
      </c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25"/>
    </row>
    <row r="17" spans="1:321" ht="15" customHeight="1" x14ac:dyDescent="0.2">
      <c r="A17" s="7" t="str">
        <f>crop!A17</f>
        <v>Systematic and sole use of chemical herbicides</v>
      </c>
      <c r="B17" s="7" t="str">
        <f>crop!B17</f>
        <v>C.6.1</v>
      </c>
      <c r="C17" s="18"/>
      <c r="D17" s="24"/>
      <c r="E17" s="24"/>
      <c r="F17" s="24"/>
      <c r="G17" s="24"/>
      <c r="H17" s="24"/>
      <c r="I17" s="2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3"/>
      <c r="U17" s="24"/>
      <c r="V17" s="24"/>
      <c r="W17" s="24"/>
      <c r="X17" s="24"/>
      <c r="Y17" s="24"/>
      <c r="Z17" s="23"/>
      <c r="AA17" s="17"/>
      <c r="AB17" s="17"/>
      <c r="AC17" s="24"/>
      <c r="AD17" s="24"/>
      <c r="AE17" s="24">
        <v>0.11</v>
      </c>
      <c r="AF17" s="24"/>
      <c r="AG17" s="24"/>
      <c r="AH17" s="24"/>
      <c r="AI17" s="24"/>
      <c r="AJ17" s="24"/>
      <c r="AK17" s="24"/>
      <c r="AL17" s="24"/>
      <c r="AM17" s="24">
        <v>0.11</v>
      </c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3">
        <v>0.11</v>
      </c>
      <c r="AZ17" s="24"/>
      <c r="BA17" s="24"/>
      <c r="BB17" s="24"/>
      <c r="BC17" s="24">
        <v>0.11</v>
      </c>
      <c r="BD17" s="24">
        <v>0.11</v>
      </c>
      <c r="BE17" s="24">
        <v>0.11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>
        <v>0.11</v>
      </c>
      <c r="BQ17" s="24"/>
      <c r="BR17" s="24"/>
      <c r="BS17" s="24"/>
      <c r="BT17" s="24">
        <f>2*0.11</f>
        <v>0.22</v>
      </c>
      <c r="BU17" s="24"/>
      <c r="BV17" s="24"/>
      <c r="BW17" s="24"/>
      <c r="BX17" s="24"/>
      <c r="BY17" s="23"/>
      <c r="BZ17" s="23"/>
      <c r="CA17" s="24">
        <v>0.11</v>
      </c>
      <c r="CB17" s="23"/>
      <c r="CC17" s="23"/>
      <c r="CD17" s="23"/>
      <c r="CE17" s="23"/>
      <c r="CF17" s="24">
        <v>0.11</v>
      </c>
      <c r="CG17" s="23"/>
      <c r="CH17" s="23"/>
      <c r="CI17" s="23"/>
      <c r="CJ17" s="23"/>
      <c r="CK17" s="24"/>
      <c r="CL17" s="24"/>
      <c r="CM17" s="23"/>
      <c r="CN17" s="24"/>
      <c r="CO17" s="24"/>
      <c r="CP17" s="24"/>
      <c r="CQ17" s="24"/>
      <c r="CR17" s="24"/>
      <c r="CS17" s="24"/>
      <c r="CT17" s="24"/>
      <c r="CU17" s="24">
        <v>0.11</v>
      </c>
      <c r="CV17" s="24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4">
        <v>0.11</v>
      </c>
      <c r="DH17" s="23"/>
      <c r="DI17" s="23"/>
      <c r="DJ17" s="23"/>
      <c r="DK17" s="23"/>
      <c r="DL17" s="24">
        <v>0.11</v>
      </c>
      <c r="DM17" s="24">
        <v>0.11</v>
      </c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4">
        <f>0.11/2.5</f>
        <v>4.3999999999999997E-2</v>
      </c>
      <c r="ED17" s="23"/>
      <c r="EE17" s="23"/>
      <c r="EF17" s="23"/>
      <c r="EG17" s="23"/>
      <c r="EH17" s="23"/>
      <c r="EI17" s="23"/>
      <c r="EJ17" s="23"/>
      <c r="EK17" s="24">
        <v>0.11</v>
      </c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4">
        <v>0.11</v>
      </c>
      <c r="FA17" s="23"/>
      <c r="FB17" s="23"/>
      <c r="FC17" s="23"/>
      <c r="FD17" s="23"/>
      <c r="FE17" s="24"/>
      <c r="FF17" s="24"/>
      <c r="FG17" s="24">
        <v>0.11</v>
      </c>
      <c r="FH17" s="24"/>
      <c r="FI17" s="24"/>
      <c r="FJ17" s="24"/>
      <c r="FK17" s="24"/>
      <c r="FL17" s="24"/>
      <c r="FM17" s="24"/>
      <c r="FN17" s="24"/>
      <c r="FO17" s="24">
        <v>0.11</v>
      </c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3">
        <v>0.11</v>
      </c>
      <c r="GB17" s="24"/>
      <c r="GC17" s="24"/>
      <c r="GD17" s="24"/>
      <c r="GE17" s="24">
        <v>0.11</v>
      </c>
      <c r="GF17" s="24">
        <v>0.11</v>
      </c>
      <c r="GG17" s="24">
        <v>0.11</v>
      </c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>
        <v>0.11</v>
      </c>
      <c r="GS17" s="24"/>
      <c r="GT17" s="24"/>
      <c r="GU17" s="24"/>
      <c r="GV17" s="24">
        <f>2*0.11</f>
        <v>0.22</v>
      </c>
      <c r="GW17" s="24"/>
      <c r="GX17" s="24"/>
      <c r="GY17" s="24"/>
      <c r="GZ17" s="24"/>
      <c r="HA17" s="23"/>
      <c r="HB17" s="23"/>
      <c r="HC17" s="24">
        <v>0.11</v>
      </c>
      <c r="HD17" s="23"/>
      <c r="HE17" s="23"/>
      <c r="HF17" s="23"/>
      <c r="HG17" s="23"/>
      <c r="HH17" s="24">
        <v>0.11</v>
      </c>
      <c r="HI17" s="23"/>
      <c r="HJ17" s="23"/>
      <c r="HK17" s="23"/>
      <c r="HL17" s="23"/>
      <c r="HM17" s="24"/>
      <c r="HN17" s="24"/>
      <c r="HO17" s="23"/>
      <c r="HP17" s="24"/>
      <c r="HQ17" s="24"/>
      <c r="HR17" s="24"/>
      <c r="HS17" s="24"/>
      <c r="HT17" s="24"/>
      <c r="HU17" s="24"/>
      <c r="HV17" s="24"/>
      <c r="HW17" s="24">
        <v>0.11</v>
      </c>
      <c r="HX17" s="24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4">
        <v>0.11</v>
      </c>
      <c r="IJ17" s="23"/>
      <c r="IK17" s="23"/>
      <c r="IL17" s="23"/>
      <c r="IM17" s="23"/>
      <c r="IN17" s="24">
        <v>0.11</v>
      </c>
      <c r="IO17" s="24">
        <v>0.11</v>
      </c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4">
        <f>0.11/2.5</f>
        <v>4.3999999999999997E-2</v>
      </c>
      <c r="JF17" s="23"/>
      <c r="JG17" s="23"/>
      <c r="JH17" s="23"/>
      <c r="JI17" s="23"/>
      <c r="JJ17" s="23"/>
      <c r="JK17" s="23"/>
      <c r="JL17" s="23"/>
      <c r="JM17" s="24">
        <v>0.11</v>
      </c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4">
        <v>0.11</v>
      </c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16"/>
      <c r="KT17" s="16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25"/>
    </row>
    <row r="18" spans="1:321" ht="15" customHeight="1" x14ac:dyDescent="0.2">
      <c r="A18" s="4" t="str">
        <f>crop!A18</f>
        <v>Sound approach of chemical herbicides + mechanical weed control</v>
      </c>
      <c r="B18" s="4" t="str">
        <f>crop!B18</f>
        <v>C.6.2</v>
      </c>
      <c r="C18" s="18"/>
      <c r="D18" s="23">
        <v>4.95</v>
      </c>
      <c r="E18" s="23">
        <v>4.95</v>
      </c>
      <c r="F18" s="24">
        <f>2*4.95</f>
        <v>9.9</v>
      </c>
      <c r="G18" s="24">
        <v>9.02</v>
      </c>
      <c r="H18" s="23">
        <v>4.95</v>
      </c>
      <c r="I18" s="23">
        <v>4.95</v>
      </c>
      <c r="J18" s="24">
        <f>4.95*2</f>
        <v>9.9</v>
      </c>
      <c r="K18" s="23">
        <v>4.95</v>
      </c>
      <c r="L18" s="23">
        <f>K18/2.5</f>
        <v>1.98</v>
      </c>
      <c r="M18" s="23">
        <v>4.95</v>
      </c>
      <c r="N18" s="23">
        <f>K18/3</f>
        <v>1.6500000000000001</v>
      </c>
      <c r="O18" s="23">
        <v>4.95</v>
      </c>
      <c r="P18" s="23">
        <v>4.95</v>
      </c>
      <c r="Q18" s="24">
        <f>2*4.95</f>
        <v>9.9</v>
      </c>
      <c r="R18" s="24">
        <v>9.02</v>
      </c>
      <c r="S18" s="23">
        <v>4.95</v>
      </c>
      <c r="T18" s="23">
        <v>4.95</v>
      </c>
      <c r="U18" s="24">
        <f>4.95*2</f>
        <v>9.9</v>
      </c>
      <c r="V18" s="23">
        <v>4.95</v>
      </c>
      <c r="W18" s="23">
        <f>V18/2.5</f>
        <v>1.98</v>
      </c>
      <c r="X18" s="23">
        <v>4.95</v>
      </c>
      <c r="Y18" s="23">
        <f>V18/3</f>
        <v>1.6500000000000001</v>
      </c>
      <c r="Z18" s="23"/>
      <c r="AA18" s="17"/>
      <c r="AB18" s="17"/>
      <c r="AC18" s="24"/>
      <c r="AD18" s="24"/>
      <c r="AE18" s="24">
        <v>0.11</v>
      </c>
      <c r="AF18" s="24"/>
      <c r="AG18" s="24"/>
      <c r="AH18" s="24"/>
      <c r="AI18" s="24"/>
      <c r="AJ18" s="24"/>
      <c r="AK18" s="24"/>
      <c r="AL18" s="24"/>
      <c r="AM18" s="23">
        <v>0.33</v>
      </c>
      <c r="AN18" s="24"/>
      <c r="AO18" s="24"/>
      <c r="AP18" s="24"/>
      <c r="AQ18" s="23">
        <v>0.11</v>
      </c>
      <c r="AR18" s="24"/>
      <c r="AS18" s="24"/>
      <c r="AT18" s="24"/>
      <c r="AU18" s="24"/>
      <c r="AV18" s="24"/>
      <c r="AW18" s="24"/>
      <c r="AX18" s="24"/>
      <c r="AY18" s="24">
        <v>0.33</v>
      </c>
      <c r="AZ18" s="24"/>
      <c r="BA18" s="24"/>
      <c r="BB18" s="24"/>
      <c r="BC18" s="24">
        <v>0.11</v>
      </c>
      <c r="BD18" s="24">
        <f>0.11+0.33</f>
        <v>0.44</v>
      </c>
      <c r="BE18" s="24">
        <v>0.33</v>
      </c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>
        <v>0.11</v>
      </c>
      <c r="BQ18" s="24"/>
      <c r="BR18" s="24"/>
      <c r="BS18" s="24"/>
      <c r="BT18" s="24">
        <v>0.67</v>
      </c>
      <c r="BU18" s="24"/>
      <c r="BV18" s="24"/>
      <c r="BW18" s="24"/>
      <c r="BX18" s="24"/>
      <c r="BY18" s="23"/>
      <c r="BZ18" s="23"/>
      <c r="CA18" s="24">
        <v>0.11</v>
      </c>
      <c r="CB18" s="23"/>
      <c r="CC18" s="23"/>
      <c r="CD18" s="23"/>
      <c r="CE18" s="23"/>
      <c r="CF18" s="24">
        <v>0.33</v>
      </c>
      <c r="CG18" s="23"/>
      <c r="CH18" s="23"/>
      <c r="CI18" s="23"/>
      <c r="CJ18" s="23"/>
      <c r="CK18" s="24"/>
      <c r="CL18" s="24"/>
      <c r="CM18" s="24">
        <v>0.11</v>
      </c>
      <c r="CN18" s="24"/>
      <c r="CO18" s="24"/>
      <c r="CP18" s="24"/>
      <c r="CQ18" s="24"/>
      <c r="CR18" s="24"/>
      <c r="CS18" s="24"/>
      <c r="CT18" s="24"/>
      <c r="CU18" s="23">
        <v>0.33</v>
      </c>
      <c r="CV18" s="24"/>
      <c r="CW18" s="23"/>
      <c r="CX18" s="23"/>
      <c r="CY18" s="23">
        <v>0.33</v>
      </c>
      <c r="CZ18" s="24"/>
      <c r="DA18" s="24"/>
      <c r="DB18" s="24"/>
      <c r="DC18" s="24"/>
      <c r="DD18" s="24"/>
      <c r="DE18" s="24"/>
      <c r="DF18" s="24"/>
      <c r="DG18" s="23">
        <v>0.33</v>
      </c>
      <c r="DH18" s="23"/>
      <c r="DI18" s="23"/>
      <c r="DJ18" s="23"/>
      <c r="DK18" s="23"/>
      <c r="DL18" s="23"/>
      <c r="DM18" s="24">
        <f>0.33+0.11</f>
        <v>0.44</v>
      </c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4">
        <f>0.33/2.5</f>
        <v>0.13200000000000001</v>
      </c>
      <c r="ED18" s="23"/>
      <c r="EE18" s="23"/>
      <c r="EF18" s="23"/>
      <c r="EG18" s="23"/>
      <c r="EH18" s="23"/>
      <c r="EI18" s="23"/>
      <c r="EJ18" s="23"/>
      <c r="EK18" s="24">
        <v>0.33</v>
      </c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4"/>
      <c r="FF18" s="24"/>
      <c r="FG18" s="24">
        <v>0.11</v>
      </c>
      <c r="FH18" s="24"/>
      <c r="FI18" s="24"/>
      <c r="FJ18" s="24"/>
      <c r="FK18" s="24"/>
      <c r="FL18" s="24"/>
      <c r="FM18" s="24"/>
      <c r="FN18" s="24"/>
      <c r="FO18" s="23">
        <v>0.33</v>
      </c>
      <c r="FP18" s="24"/>
      <c r="FQ18" s="24"/>
      <c r="FR18" s="24"/>
      <c r="FS18" s="23">
        <v>0.11</v>
      </c>
      <c r="FT18" s="24"/>
      <c r="FU18" s="24"/>
      <c r="FV18" s="24"/>
      <c r="FW18" s="24"/>
      <c r="FX18" s="24"/>
      <c r="FY18" s="24"/>
      <c r="FZ18" s="24"/>
      <c r="GA18" s="24">
        <v>0.33</v>
      </c>
      <c r="GB18" s="24"/>
      <c r="GC18" s="24"/>
      <c r="GD18" s="24"/>
      <c r="GE18" s="24">
        <v>0.11</v>
      </c>
      <c r="GF18" s="24">
        <f>0.11+0.33</f>
        <v>0.44</v>
      </c>
      <c r="GG18" s="24">
        <v>0.33</v>
      </c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>
        <v>0.11</v>
      </c>
      <c r="GS18" s="24"/>
      <c r="GT18" s="24"/>
      <c r="GU18" s="24"/>
      <c r="GV18" s="24">
        <v>0.67</v>
      </c>
      <c r="GW18" s="24"/>
      <c r="GX18" s="24"/>
      <c r="GY18" s="24"/>
      <c r="GZ18" s="24"/>
      <c r="HA18" s="23"/>
      <c r="HB18" s="23"/>
      <c r="HC18" s="24">
        <v>0.11</v>
      </c>
      <c r="HD18" s="23"/>
      <c r="HE18" s="23"/>
      <c r="HF18" s="23"/>
      <c r="HG18" s="23"/>
      <c r="HH18" s="24">
        <v>0.33</v>
      </c>
      <c r="HI18" s="23"/>
      <c r="HJ18" s="23"/>
      <c r="HK18" s="23"/>
      <c r="HL18" s="23"/>
      <c r="HM18" s="24"/>
      <c r="HN18" s="24"/>
      <c r="HO18" s="24">
        <v>0.11</v>
      </c>
      <c r="HP18" s="24"/>
      <c r="HQ18" s="24"/>
      <c r="HR18" s="24"/>
      <c r="HS18" s="24"/>
      <c r="HT18" s="24"/>
      <c r="HU18" s="24"/>
      <c r="HV18" s="24"/>
      <c r="HW18" s="23">
        <v>0.33</v>
      </c>
      <c r="HX18" s="24"/>
      <c r="HY18" s="23"/>
      <c r="HZ18" s="23"/>
      <c r="IA18" s="23">
        <v>0.33</v>
      </c>
      <c r="IB18" s="24"/>
      <c r="IC18" s="24"/>
      <c r="ID18" s="24"/>
      <c r="IE18" s="24"/>
      <c r="IF18" s="24"/>
      <c r="IG18" s="24"/>
      <c r="IH18" s="24"/>
      <c r="II18" s="23">
        <v>0.33</v>
      </c>
      <c r="IJ18" s="23"/>
      <c r="IK18" s="23"/>
      <c r="IL18" s="23"/>
      <c r="IM18" s="23"/>
      <c r="IN18" s="23"/>
      <c r="IO18" s="24">
        <f>0.33+0.11</f>
        <v>0.44</v>
      </c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4">
        <f>0.33/2.5</f>
        <v>0.13200000000000001</v>
      </c>
      <c r="JF18" s="23"/>
      <c r="JG18" s="23"/>
      <c r="JH18" s="23"/>
      <c r="JI18" s="23"/>
      <c r="JJ18" s="23"/>
      <c r="JK18" s="23"/>
      <c r="JL18" s="23"/>
      <c r="JM18" s="24">
        <v>0.33</v>
      </c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16">
        <v>0.9</v>
      </c>
      <c r="KT18" s="16">
        <v>0.9</v>
      </c>
      <c r="KU18" s="17"/>
      <c r="KV18" s="16">
        <v>1</v>
      </c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25">
        <v>-0.25</v>
      </c>
    </row>
    <row r="19" spans="1:321" ht="15" customHeight="1" x14ac:dyDescent="0.2">
      <c r="A19" s="6" t="str">
        <f>crop!A19</f>
        <v>Sole use of mechanical weed control</v>
      </c>
      <c r="B19" s="6" t="str">
        <f>crop!B19</f>
        <v>C.6.3</v>
      </c>
      <c r="C19" s="18"/>
      <c r="D19" s="24">
        <f>4.95*2</f>
        <v>9.9</v>
      </c>
      <c r="E19" s="24">
        <f>4.95*2</f>
        <v>9.9</v>
      </c>
      <c r="F19" s="24">
        <f>3*4.95</f>
        <v>14.850000000000001</v>
      </c>
      <c r="G19" s="24">
        <f>4.95+9.02</f>
        <v>13.969999999999999</v>
      </c>
      <c r="H19" s="24">
        <f>4.95*2</f>
        <v>9.9</v>
      </c>
      <c r="I19" s="24">
        <f>4.95*2</f>
        <v>9.9</v>
      </c>
      <c r="J19" s="24">
        <f>4.95*2</f>
        <v>9.9</v>
      </c>
      <c r="K19" s="24">
        <f>4.95*2</f>
        <v>9.9</v>
      </c>
      <c r="L19" s="23">
        <f>K19/2/2.5</f>
        <v>1.98</v>
      </c>
      <c r="M19" s="23">
        <v>4.95</v>
      </c>
      <c r="N19" s="23">
        <f>K19/2/3</f>
        <v>1.6500000000000001</v>
      </c>
      <c r="O19" s="24">
        <f>4.95*2</f>
        <v>9.9</v>
      </c>
      <c r="P19" s="24">
        <f>4.95*2</f>
        <v>9.9</v>
      </c>
      <c r="Q19" s="24">
        <f>3*4.95</f>
        <v>14.850000000000001</v>
      </c>
      <c r="R19" s="24">
        <f>4.95+9.02</f>
        <v>13.969999999999999</v>
      </c>
      <c r="S19" s="24">
        <f>4.95*2</f>
        <v>9.9</v>
      </c>
      <c r="T19" s="24">
        <f>4.95*2</f>
        <v>9.9</v>
      </c>
      <c r="U19" s="24">
        <f>4.95*2</f>
        <v>9.9</v>
      </c>
      <c r="V19" s="24">
        <f>4.95*2</f>
        <v>9.9</v>
      </c>
      <c r="W19" s="23">
        <f>V19/2/2.5</f>
        <v>1.98</v>
      </c>
      <c r="X19" s="23">
        <v>4.95</v>
      </c>
      <c r="Y19" s="23">
        <f>V19/2/3</f>
        <v>1.6500000000000001</v>
      </c>
      <c r="Z19" s="23"/>
      <c r="AA19" s="17"/>
      <c r="AB19" s="17"/>
      <c r="AC19" s="24"/>
      <c r="AD19" s="24"/>
      <c r="AE19" s="24">
        <v>0.33</v>
      </c>
      <c r="AF19" s="24"/>
      <c r="AG19" s="24"/>
      <c r="AH19" s="24"/>
      <c r="AI19" s="24"/>
      <c r="AJ19" s="24"/>
      <c r="AK19" s="24"/>
      <c r="AL19" s="24"/>
      <c r="AM19" s="23">
        <v>0.33</v>
      </c>
      <c r="AN19" s="24"/>
      <c r="AO19" s="24"/>
      <c r="AP19" s="24"/>
      <c r="AQ19" s="24">
        <v>0.33</v>
      </c>
      <c r="AR19" s="24"/>
      <c r="AS19" s="24"/>
      <c r="AT19" s="24"/>
      <c r="AU19" s="24"/>
      <c r="AV19" s="24"/>
      <c r="AW19" s="24"/>
      <c r="AX19" s="24"/>
      <c r="AY19" s="24">
        <v>0.33</v>
      </c>
      <c r="AZ19" s="24"/>
      <c r="BA19" s="24"/>
      <c r="BB19" s="24"/>
      <c r="BC19" s="24">
        <v>0.33</v>
      </c>
      <c r="BD19" s="24">
        <v>0.33</v>
      </c>
      <c r="BE19" s="24">
        <v>0.33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>
        <v>0.33</v>
      </c>
      <c r="BR19" s="24"/>
      <c r="BS19" s="24"/>
      <c r="BT19" s="24">
        <v>0.67</v>
      </c>
      <c r="BU19" s="24"/>
      <c r="BV19" s="24"/>
      <c r="BW19" s="24"/>
      <c r="BX19" s="24"/>
      <c r="BY19" s="23"/>
      <c r="BZ19" s="23"/>
      <c r="CA19" s="24">
        <v>0.33</v>
      </c>
      <c r="CB19" s="23"/>
      <c r="CC19" s="23"/>
      <c r="CD19" s="23"/>
      <c r="CE19" s="23"/>
      <c r="CF19" s="24">
        <v>0.33</v>
      </c>
      <c r="CG19" s="23"/>
      <c r="CH19" s="23"/>
      <c r="CI19" s="23"/>
      <c r="CJ19" s="23"/>
      <c r="CK19" s="24"/>
      <c r="CL19" s="24"/>
      <c r="CM19" s="24">
        <v>0.33</v>
      </c>
      <c r="CN19" s="24"/>
      <c r="CO19" s="24"/>
      <c r="CP19" s="24"/>
      <c r="CQ19" s="24"/>
      <c r="CR19" s="24"/>
      <c r="CS19" s="24"/>
      <c r="CT19" s="24"/>
      <c r="CU19" s="23">
        <v>0.33</v>
      </c>
      <c r="CV19" s="24"/>
      <c r="CW19" s="23"/>
      <c r="CX19" s="23"/>
      <c r="CY19" s="24">
        <v>0.33</v>
      </c>
      <c r="CZ19" s="24"/>
      <c r="DA19" s="24"/>
      <c r="DB19" s="24"/>
      <c r="DC19" s="24"/>
      <c r="DD19" s="24"/>
      <c r="DE19" s="24"/>
      <c r="DF19" s="24"/>
      <c r="DG19" s="23">
        <v>0.33</v>
      </c>
      <c r="DH19" s="23"/>
      <c r="DI19" s="23"/>
      <c r="DJ19" s="23"/>
      <c r="DK19" s="23"/>
      <c r="DL19" s="24">
        <v>0.33</v>
      </c>
      <c r="DM19" s="24">
        <v>0.33</v>
      </c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4">
        <f>0.33/2.5</f>
        <v>0.13200000000000001</v>
      </c>
      <c r="ED19" s="23"/>
      <c r="EE19" s="23"/>
      <c r="EF19" s="23"/>
      <c r="EG19" s="23"/>
      <c r="EH19" s="23"/>
      <c r="EI19" s="23"/>
      <c r="EJ19" s="23"/>
      <c r="EK19" s="24">
        <v>0.33</v>
      </c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4"/>
      <c r="FF19" s="24"/>
      <c r="FG19" s="24">
        <v>0.33</v>
      </c>
      <c r="FH19" s="24"/>
      <c r="FI19" s="24"/>
      <c r="FJ19" s="24"/>
      <c r="FK19" s="24"/>
      <c r="FL19" s="24"/>
      <c r="FM19" s="24"/>
      <c r="FN19" s="24"/>
      <c r="FO19" s="23">
        <v>0.33</v>
      </c>
      <c r="FP19" s="24"/>
      <c r="FQ19" s="24"/>
      <c r="FR19" s="24"/>
      <c r="FS19" s="24">
        <v>0.33</v>
      </c>
      <c r="FT19" s="24"/>
      <c r="FU19" s="24"/>
      <c r="FV19" s="24"/>
      <c r="FW19" s="24"/>
      <c r="FX19" s="24"/>
      <c r="FY19" s="24"/>
      <c r="FZ19" s="24"/>
      <c r="GA19" s="24">
        <v>0.33</v>
      </c>
      <c r="GB19" s="24"/>
      <c r="GC19" s="24"/>
      <c r="GD19" s="24"/>
      <c r="GE19" s="24">
        <v>0.33</v>
      </c>
      <c r="GF19" s="24">
        <v>0.33</v>
      </c>
      <c r="GG19" s="24">
        <v>0.33</v>
      </c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>
        <v>0.33</v>
      </c>
      <c r="GT19" s="24"/>
      <c r="GU19" s="24"/>
      <c r="GV19" s="24">
        <v>0.67</v>
      </c>
      <c r="GW19" s="24"/>
      <c r="GX19" s="24"/>
      <c r="GY19" s="24"/>
      <c r="GZ19" s="24"/>
      <c r="HA19" s="23"/>
      <c r="HB19" s="23"/>
      <c r="HC19" s="24">
        <v>0.33</v>
      </c>
      <c r="HD19" s="23"/>
      <c r="HE19" s="23"/>
      <c r="HF19" s="23"/>
      <c r="HG19" s="23"/>
      <c r="HH19" s="24">
        <v>0.33</v>
      </c>
      <c r="HI19" s="23"/>
      <c r="HJ19" s="23"/>
      <c r="HK19" s="23"/>
      <c r="HL19" s="23"/>
      <c r="HM19" s="24"/>
      <c r="HN19" s="24"/>
      <c r="HO19" s="24">
        <v>0.33</v>
      </c>
      <c r="HP19" s="24"/>
      <c r="HQ19" s="24"/>
      <c r="HR19" s="24"/>
      <c r="HS19" s="24"/>
      <c r="HT19" s="24"/>
      <c r="HU19" s="24"/>
      <c r="HV19" s="24"/>
      <c r="HW19" s="23">
        <v>0.33</v>
      </c>
      <c r="HX19" s="24"/>
      <c r="HY19" s="23"/>
      <c r="HZ19" s="23"/>
      <c r="IA19" s="24">
        <v>0.33</v>
      </c>
      <c r="IB19" s="24"/>
      <c r="IC19" s="24"/>
      <c r="ID19" s="24"/>
      <c r="IE19" s="24"/>
      <c r="IF19" s="24"/>
      <c r="IG19" s="24"/>
      <c r="IH19" s="24"/>
      <c r="II19" s="23">
        <v>0.33</v>
      </c>
      <c r="IJ19" s="23"/>
      <c r="IK19" s="23"/>
      <c r="IL19" s="23"/>
      <c r="IM19" s="23"/>
      <c r="IN19" s="24">
        <v>0.33</v>
      </c>
      <c r="IO19" s="24">
        <v>0.33</v>
      </c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4">
        <f>0.33/2.5</f>
        <v>0.13200000000000001</v>
      </c>
      <c r="JF19" s="23"/>
      <c r="JG19" s="23"/>
      <c r="JH19" s="23"/>
      <c r="JI19" s="23"/>
      <c r="JJ19" s="23"/>
      <c r="JK19" s="23"/>
      <c r="JL19" s="23"/>
      <c r="JM19" s="24">
        <v>0.33</v>
      </c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16">
        <v>1.1000000000000001</v>
      </c>
      <c r="KT19" s="16">
        <v>1.1000000000000001</v>
      </c>
      <c r="KU19" s="17"/>
      <c r="KV19" s="16">
        <v>1</v>
      </c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25">
        <v>-0.5</v>
      </c>
    </row>
    <row r="20" spans="1:321" ht="15" customHeight="1" x14ac:dyDescent="0.2">
      <c r="A20" s="7" t="str">
        <f>crop!A20</f>
        <v>Systematic use of chemical insecticides / molluscicides / nematicides</v>
      </c>
      <c r="B20" s="7" t="str">
        <f>crop!B20</f>
        <v>C.7.1</v>
      </c>
      <c r="C20" s="18"/>
      <c r="D20" s="24"/>
      <c r="E20" s="24"/>
      <c r="F20" s="24"/>
      <c r="G20" s="24"/>
      <c r="H20" s="24"/>
      <c r="I20" s="2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3"/>
      <c r="U20" s="24"/>
      <c r="V20" s="24"/>
      <c r="W20" s="24"/>
      <c r="X20" s="24"/>
      <c r="Y20" s="24"/>
      <c r="Z20" s="23"/>
      <c r="AA20" s="17"/>
      <c r="AB20" s="17"/>
      <c r="AC20" s="24"/>
      <c r="AD20" s="24"/>
      <c r="AE20" s="24"/>
      <c r="AF20" s="24"/>
      <c r="AG20" s="23">
        <v>0.11</v>
      </c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>
        <v>0.11</v>
      </c>
      <c r="BF20" s="24"/>
      <c r="BG20" s="24">
        <v>0.11</v>
      </c>
      <c r="BH20" s="24"/>
      <c r="BI20" s="24"/>
      <c r="BJ20" s="24"/>
      <c r="BK20" s="24"/>
      <c r="BL20" s="24"/>
      <c r="BM20" s="24"/>
      <c r="BN20" s="24"/>
      <c r="BO20" s="24"/>
      <c r="BP20" s="24"/>
      <c r="BQ20" s="24">
        <v>0.11</v>
      </c>
      <c r="BR20" s="24">
        <v>0.11</v>
      </c>
      <c r="BS20" s="24">
        <v>0.11</v>
      </c>
      <c r="BT20" s="24"/>
      <c r="BU20" s="24"/>
      <c r="BV20" s="24"/>
      <c r="BW20" s="24"/>
      <c r="BX20" s="24"/>
      <c r="BY20" s="23"/>
      <c r="BZ20" s="23"/>
      <c r="CA20" s="23">
        <v>0.11</v>
      </c>
      <c r="CB20" s="23">
        <v>0.11</v>
      </c>
      <c r="CC20" s="23"/>
      <c r="CD20" s="23"/>
      <c r="CE20" s="23"/>
      <c r="CF20" s="23"/>
      <c r="CG20" s="23">
        <v>0.11</v>
      </c>
      <c r="CH20" s="23"/>
      <c r="CI20" s="23"/>
      <c r="CJ20" s="23"/>
      <c r="CK20" s="23"/>
      <c r="CL20" s="23"/>
      <c r="CM20" s="23"/>
      <c r="CN20" s="23"/>
      <c r="CO20" s="23">
        <v>0.11</v>
      </c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>
        <v>0.11</v>
      </c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4">
        <v>0.11</v>
      </c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4">
        <f>0.11/2.5</f>
        <v>4.3999999999999997E-2</v>
      </c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4"/>
      <c r="FF20" s="24"/>
      <c r="FG20" s="24"/>
      <c r="FH20" s="24"/>
      <c r="FI20" s="23">
        <v>0.11</v>
      </c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>
        <v>0.11</v>
      </c>
      <c r="GH20" s="24"/>
      <c r="GI20" s="24">
        <v>0.11</v>
      </c>
      <c r="GJ20" s="24"/>
      <c r="GK20" s="24"/>
      <c r="GL20" s="24"/>
      <c r="GM20" s="24"/>
      <c r="GN20" s="24"/>
      <c r="GO20" s="24"/>
      <c r="GP20" s="24"/>
      <c r="GQ20" s="24"/>
      <c r="GR20" s="24"/>
      <c r="GS20" s="24">
        <v>0.11</v>
      </c>
      <c r="GT20" s="24">
        <v>0.11</v>
      </c>
      <c r="GU20" s="24">
        <v>0.11</v>
      </c>
      <c r="GV20" s="24"/>
      <c r="GW20" s="24"/>
      <c r="GX20" s="24"/>
      <c r="GY20" s="24"/>
      <c r="GZ20" s="24"/>
      <c r="HA20" s="23"/>
      <c r="HB20" s="23"/>
      <c r="HC20" s="23">
        <v>0.11</v>
      </c>
      <c r="HD20" s="23">
        <v>0.11</v>
      </c>
      <c r="HE20" s="23"/>
      <c r="HF20" s="23"/>
      <c r="HG20" s="23"/>
      <c r="HH20" s="23"/>
      <c r="HI20" s="23">
        <v>0.11</v>
      </c>
      <c r="HJ20" s="23"/>
      <c r="HK20" s="23"/>
      <c r="HL20" s="23"/>
      <c r="HM20" s="23"/>
      <c r="HN20" s="23"/>
      <c r="HO20" s="23"/>
      <c r="HP20" s="23"/>
      <c r="HQ20" s="23">
        <v>0.11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>
        <v>0.11</v>
      </c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4">
        <v>0.11</v>
      </c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4">
        <f>0.11/2.5</f>
        <v>4.3999999999999997E-2</v>
      </c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16"/>
      <c r="KT20" s="16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25"/>
    </row>
    <row r="21" spans="1:321" ht="15" customHeight="1" x14ac:dyDescent="0.2">
      <c r="A21" s="4" t="str">
        <f>crop!A21</f>
        <v>Sound approach of chemical insecticides / molluscicides / nematicides</v>
      </c>
      <c r="B21" s="4" t="str">
        <f>crop!B21</f>
        <v>C.7.2</v>
      </c>
      <c r="C21" s="18"/>
      <c r="D21" s="24"/>
      <c r="E21" s="24"/>
      <c r="F21" s="24"/>
      <c r="G21" s="24"/>
      <c r="H21" s="24"/>
      <c r="I21" s="2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3"/>
      <c r="U21" s="24"/>
      <c r="V21" s="24"/>
      <c r="W21" s="24"/>
      <c r="X21" s="24"/>
      <c r="Y21" s="24"/>
      <c r="Z21" s="23"/>
      <c r="AA21" s="17"/>
      <c r="AB21" s="17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>
        <v>0.11</v>
      </c>
      <c r="BH21" s="24"/>
      <c r="BI21" s="24"/>
      <c r="BJ21" s="24"/>
      <c r="BK21" s="24"/>
      <c r="BL21" s="24"/>
      <c r="BM21" s="24"/>
      <c r="BN21" s="24"/>
      <c r="BO21" s="24"/>
      <c r="BP21" s="24"/>
      <c r="BQ21" s="24">
        <v>0.11</v>
      </c>
      <c r="BR21" s="24">
        <v>0.11</v>
      </c>
      <c r="BS21" s="24"/>
      <c r="BT21" s="24"/>
      <c r="BU21" s="24"/>
      <c r="BV21" s="24"/>
      <c r="BW21" s="24"/>
      <c r="BX21" s="24"/>
      <c r="BY21" s="23"/>
      <c r="BZ21" s="23"/>
      <c r="CA21" s="23">
        <v>0.11</v>
      </c>
      <c r="CB21" s="23">
        <v>0.11</v>
      </c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>
        <v>0.11</v>
      </c>
      <c r="GJ21" s="24"/>
      <c r="GK21" s="24"/>
      <c r="GL21" s="24"/>
      <c r="GM21" s="24"/>
      <c r="GN21" s="24"/>
      <c r="GO21" s="24"/>
      <c r="GP21" s="24"/>
      <c r="GQ21" s="24"/>
      <c r="GR21" s="24"/>
      <c r="GS21" s="24">
        <v>0.11</v>
      </c>
      <c r="GT21" s="24">
        <v>0.11</v>
      </c>
      <c r="GU21" s="24"/>
      <c r="GV21" s="24"/>
      <c r="GW21" s="24"/>
      <c r="GX21" s="24"/>
      <c r="GY21" s="24"/>
      <c r="GZ21" s="24"/>
      <c r="HA21" s="23"/>
      <c r="HB21" s="23"/>
      <c r="HC21" s="23">
        <v>0.11</v>
      </c>
      <c r="HD21" s="23">
        <v>0.11</v>
      </c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16">
        <v>0.9</v>
      </c>
      <c r="KT21" s="16">
        <v>0.9</v>
      </c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25">
        <v>-0.5</v>
      </c>
    </row>
    <row r="22" spans="1:321" ht="15" customHeight="1" x14ac:dyDescent="0.2">
      <c r="A22" s="4" t="str">
        <f>crop!A22</f>
        <v>Biocontrol products (incl. pyrethrin) and other natural control techniques against pests</v>
      </c>
      <c r="B22" s="4" t="str">
        <f>crop!B22</f>
        <v>C.7.3</v>
      </c>
      <c r="C22" s="18"/>
      <c r="D22" s="24"/>
      <c r="E22" s="24"/>
      <c r="F22" s="24"/>
      <c r="G22" s="24"/>
      <c r="H22" s="24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3"/>
      <c r="U22" s="24"/>
      <c r="V22" s="24"/>
      <c r="W22" s="24"/>
      <c r="X22" s="24"/>
      <c r="Y22" s="24"/>
      <c r="Z22" s="23"/>
      <c r="AA22" s="17"/>
      <c r="AB22" s="17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>
        <v>0.11</v>
      </c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>
        <v>0.11</v>
      </c>
      <c r="BS22" s="24"/>
      <c r="BT22" s="24"/>
      <c r="BU22" s="24"/>
      <c r="BV22" s="24"/>
      <c r="BW22" s="24"/>
      <c r="BX22" s="24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4">
        <v>0.22</v>
      </c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>
        <v>0.11</v>
      </c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>
        <v>0.11</v>
      </c>
      <c r="GU22" s="24"/>
      <c r="GV22" s="24"/>
      <c r="GW22" s="24"/>
      <c r="GX22" s="24"/>
      <c r="GY22" s="24"/>
      <c r="GZ22" s="24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4">
        <v>0.22</v>
      </c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16">
        <v>0.85</v>
      </c>
      <c r="KT22" s="16">
        <v>0.85</v>
      </c>
      <c r="KU22" s="17"/>
      <c r="KV22" s="16">
        <v>1</v>
      </c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25">
        <v>-0.5</v>
      </c>
    </row>
    <row r="23" spans="1:321" ht="15" customHeight="1" x14ac:dyDescent="0.2">
      <c r="A23" s="6" t="str">
        <f>crop!A23</f>
        <v>No direct protection against animal pests</v>
      </c>
      <c r="B23" s="6" t="str">
        <f>crop!B23</f>
        <v>C.7.4</v>
      </c>
      <c r="C23" s="18"/>
      <c r="D23" s="24"/>
      <c r="E23" s="24"/>
      <c r="F23" s="24"/>
      <c r="G23" s="24"/>
      <c r="H23" s="24"/>
      <c r="I23" s="2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3"/>
      <c r="U23" s="24"/>
      <c r="V23" s="24"/>
      <c r="W23" s="24"/>
      <c r="X23" s="24"/>
      <c r="Y23" s="24"/>
      <c r="Z23" s="23"/>
      <c r="AA23" s="17"/>
      <c r="AB23" s="17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16">
        <v>0.8</v>
      </c>
      <c r="KT23" s="16">
        <v>0.8</v>
      </c>
      <c r="KU23" s="17"/>
      <c r="KV23" s="16">
        <v>1</v>
      </c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25"/>
    </row>
    <row r="24" spans="1:321" ht="15" customHeight="1" x14ac:dyDescent="0.2">
      <c r="A24" s="7" t="str">
        <f>crop!A24</f>
        <v>High yielding cultivars</v>
      </c>
      <c r="B24" s="7" t="str">
        <f>crop!B24</f>
        <v>C.8.1</v>
      </c>
      <c r="C24" s="18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17"/>
      <c r="AB24" s="17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16"/>
      <c r="KT24" s="16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25"/>
    </row>
    <row r="25" spans="1:321" ht="15" customHeight="1" x14ac:dyDescent="0.2">
      <c r="A25" s="6" t="str">
        <f>crop!A25</f>
        <v>Resistant cultivars and/or mix of varieties</v>
      </c>
      <c r="B25" s="6" t="str">
        <f>crop!B25</f>
        <v>C.8.2</v>
      </c>
      <c r="C25" s="18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7"/>
      <c r="AB25" s="17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16">
        <v>0.9</v>
      </c>
      <c r="KT25" s="16">
        <v>0.9</v>
      </c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25">
        <v>-0.25</v>
      </c>
    </row>
    <row r="26" spans="1:321" ht="15" customHeight="1" x14ac:dyDescent="0.2">
      <c r="A26" s="4" t="str">
        <f>crop!A26</f>
        <v>Temporary grassland composed of grass</v>
      </c>
      <c r="B26" s="4" t="str">
        <f>crop!B26</f>
        <v>C.9.1</v>
      </c>
      <c r="C26" s="18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17"/>
      <c r="AB26" s="17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25"/>
    </row>
    <row r="27" spans="1:321" ht="15" customHeight="1" x14ac:dyDescent="0.2">
      <c r="A27" s="4" t="str">
        <f>crop!A27</f>
        <v>Temporary grassland composed of simple grass/legume mixtures</v>
      </c>
      <c r="B27" s="4" t="str">
        <f>crop!B27</f>
        <v>C.9.2</v>
      </c>
      <c r="C27" s="1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17"/>
      <c r="AB27" s="17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25"/>
    </row>
    <row r="28" spans="1:321" ht="15" customHeight="1" x14ac:dyDescent="0.2">
      <c r="A28" s="6" t="str">
        <f>crop!A28</f>
        <v>Temporary grassland composed of complex grass/legume mixtures</v>
      </c>
      <c r="B28" s="6" t="str">
        <f>crop!B28</f>
        <v>C.9.3</v>
      </c>
      <c r="C28" s="18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17"/>
      <c r="AB28" s="17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25">
        <v>-0.25</v>
      </c>
    </row>
    <row r="29" spans="1:321" ht="15" customHeight="1" x14ac:dyDescent="0.2">
      <c r="A29" s="7" t="str">
        <f>crop!A29</f>
        <v>No permanent grassland</v>
      </c>
      <c r="B29" s="7" t="str">
        <f>crop!B29</f>
        <v>C.10.1</v>
      </c>
      <c r="C29" s="18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17"/>
      <c r="AB29" s="17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25"/>
    </row>
    <row r="30" spans="1:321" ht="15" customHeight="1" x14ac:dyDescent="0.2">
      <c r="A30" s="4" t="str">
        <f>crop!A30</f>
        <v>Permanent grassland occupy a small percentage of the farm area</v>
      </c>
      <c r="B30" s="4" t="str">
        <f>crop!B30</f>
        <v>C.10.2</v>
      </c>
      <c r="C30" s="18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17"/>
      <c r="AB30" s="17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25"/>
    </row>
    <row r="31" spans="1:321" ht="15" customHeight="1" x14ac:dyDescent="0.2">
      <c r="A31" s="6" t="str">
        <f>crop!A31</f>
        <v>Permanent grassland occupy a high percentage of the farm area</v>
      </c>
      <c r="B31" s="6" t="str">
        <f>crop!B31</f>
        <v>C.10.3</v>
      </c>
      <c r="C31" s="18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17"/>
      <c r="AB31" s="17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17"/>
      <c r="KT31" s="17"/>
      <c r="KU31" s="17"/>
      <c r="KV31" s="16">
        <v>1</v>
      </c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25"/>
    </row>
    <row r="32" spans="1:321" ht="15" customHeight="1" x14ac:dyDescent="0.2">
      <c r="A32" s="7" t="str">
        <f>crop!A32</f>
        <v>Sole crops</v>
      </c>
      <c r="B32" s="7" t="str">
        <f>crop!B32</f>
        <v>C.11.1</v>
      </c>
      <c r="C32" s="18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17"/>
      <c r="AB32" s="17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25"/>
    </row>
    <row r="33" spans="1:321" ht="15" customHeight="1" x14ac:dyDescent="0.2">
      <c r="A33" s="6" t="str">
        <f>crop!A33</f>
        <v>Wheat/pea intercrops</v>
      </c>
      <c r="B33" s="6" t="str">
        <f>crop!B33</f>
        <v>C.11.2</v>
      </c>
      <c r="C33" s="18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17"/>
      <c r="AB33" s="17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25">
        <v>-0.25</v>
      </c>
    </row>
    <row r="34" spans="1:321" ht="15" customHeight="1" x14ac:dyDescent="0.2">
      <c r="A34" s="8" t="str">
        <f>crop!A34</f>
        <v>CS #1: maize - wheat</v>
      </c>
      <c r="B34" s="8" t="str">
        <f>crop!B34</f>
        <v>C.12.1</v>
      </c>
      <c r="C34" s="18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17"/>
      <c r="AB34" s="17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16"/>
      <c r="KT34" s="17"/>
      <c r="KU34" s="16">
        <v>0.8</v>
      </c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25"/>
    </row>
    <row r="35" spans="1:321" ht="15" customHeight="1" x14ac:dyDescent="0.2">
      <c r="A35" s="3" t="str">
        <f>crop!A35</f>
        <v>CS #1: rapeseed - wheat - maize - wheat</v>
      </c>
      <c r="B35" s="3" t="str">
        <f>crop!B35</f>
        <v>C.12.2</v>
      </c>
      <c r="C35" s="18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17"/>
      <c r="AB35" s="17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16"/>
      <c r="KT35" s="17"/>
      <c r="KU35" s="16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25">
        <v>-0.125</v>
      </c>
    </row>
    <row r="36" spans="1:321" ht="15" customHeight="1" x14ac:dyDescent="0.2">
      <c r="A36" s="3" t="str">
        <f>crop!A36</f>
        <v>CS #1: maize - wheat - maize - barley</v>
      </c>
      <c r="B36" s="3" t="str">
        <f>crop!B36</f>
        <v>C.12.3</v>
      </c>
      <c r="C36" s="5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17"/>
      <c r="AB36" s="17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16"/>
      <c r="KT36" s="17"/>
      <c r="KU36" s="16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25">
        <v>-0.125</v>
      </c>
    </row>
    <row r="37" spans="1:321" ht="15" customHeight="1" x14ac:dyDescent="0.2">
      <c r="A37" s="3" t="str">
        <f>crop!A37</f>
        <v>CS #1: alfalfa (3 years) - maize - wheat</v>
      </c>
      <c r="B37" s="3" t="str">
        <f>crop!B37</f>
        <v>C.12.4</v>
      </c>
      <c r="C37" s="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17"/>
      <c r="AB37" s="17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16">
        <v>1.1000000000000001</v>
      </c>
      <c r="KT37" s="17"/>
      <c r="KU37" s="16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25">
        <v>-0.125</v>
      </c>
    </row>
    <row r="38" spans="1:321" ht="15" customHeight="1" x14ac:dyDescent="0.2">
      <c r="A38" s="3" t="str">
        <f>crop!A38</f>
        <v>CS #1: faba bean - wheat - rapeseed - maize</v>
      </c>
      <c r="B38" s="3" t="str">
        <f>crop!B38</f>
        <v>C.12.5</v>
      </c>
      <c r="C38" s="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17"/>
      <c r="AB38" s="17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16">
        <v>1.1000000000000001</v>
      </c>
      <c r="KT38" s="17"/>
      <c r="KU38" s="16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25">
        <v>-0.125</v>
      </c>
    </row>
    <row r="39" spans="1:321" ht="15" customHeight="1" x14ac:dyDescent="0.2">
      <c r="A39" s="3" t="str">
        <f>crop!A39</f>
        <v>CS #1: grassland (4 years) - maize - maize</v>
      </c>
      <c r="B39" s="3" t="str">
        <f>crop!B39</f>
        <v>C.12.6</v>
      </c>
      <c r="C39" s="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17"/>
      <c r="AB39" s="17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16">
        <v>0.7</v>
      </c>
      <c r="KT39" s="17"/>
      <c r="KU39" s="16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25">
        <v>-0.125</v>
      </c>
    </row>
    <row r="40" spans="1:321" ht="15" customHeight="1" x14ac:dyDescent="0.2">
      <c r="A40" s="3" t="str">
        <f>crop!A40</f>
        <v>CS #1: grassland (3 years) - maize - wheat - barley</v>
      </c>
      <c r="B40" s="3" t="str">
        <f>crop!B40</f>
        <v>C.12.7</v>
      </c>
      <c r="C40" s="9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17"/>
      <c r="AB40" s="17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16">
        <v>0.7</v>
      </c>
      <c r="KT40" s="17"/>
      <c r="KU40" s="16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25">
        <v>-0.125</v>
      </c>
    </row>
    <row r="41" spans="1:321" ht="15" customHeight="1" x14ac:dyDescent="0.2">
      <c r="A41" s="3" t="str">
        <f>crop!A41</f>
        <v>CS #1: faba bean - wheat - maize - alfalfa (3 years) - barley - maize</v>
      </c>
      <c r="B41" s="3" t="str">
        <f>crop!B41</f>
        <v>C.12.8</v>
      </c>
      <c r="C41" s="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17"/>
      <c r="AB41" s="17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16">
        <v>0.8</v>
      </c>
      <c r="KT41" s="17"/>
      <c r="KU41" s="16"/>
      <c r="KV41" s="16">
        <v>1</v>
      </c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25">
        <v>-0.25</v>
      </c>
    </row>
    <row r="42" spans="1:321" ht="15" customHeight="1" x14ac:dyDescent="0.2">
      <c r="A42" s="10" t="str">
        <f>crop!A42</f>
        <v>CS #1: grassland (3 years) - maize - wheat - faba bean - rapeseed</v>
      </c>
      <c r="B42" s="10" t="str">
        <f>crop!B42</f>
        <v>C.12.9</v>
      </c>
      <c r="C42" s="18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17"/>
      <c r="AB42" s="17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16">
        <v>0.8</v>
      </c>
      <c r="KT42" s="17"/>
      <c r="KU42" s="16"/>
      <c r="KV42" s="16">
        <v>1</v>
      </c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25">
        <v>-0.25</v>
      </c>
    </row>
    <row r="43" spans="1:321" ht="15" customHeight="1" x14ac:dyDescent="0.2">
      <c r="A43" s="8" t="str">
        <f>crop!A43</f>
        <v>CS #2: maize - wheat</v>
      </c>
      <c r="B43" s="8" t="str">
        <f>crop!B43</f>
        <v>C.13.1</v>
      </c>
      <c r="C43" s="1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17"/>
      <c r="AB43" s="17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  <c r="JL43" s="23"/>
      <c r="JM43" s="23"/>
      <c r="JN43" s="23"/>
      <c r="JO43" s="23"/>
      <c r="JP43" s="23"/>
      <c r="JQ43" s="23"/>
      <c r="JR43" s="23"/>
      <c r="JS43" s="23"/>
      <c r="JT43" s="23"/>
      <c r="JU43" s="23"/>
      <c r="JV43" s="23"/>
      <c r="JW43" s="23"/>
      <c r="JX43" s="23"/>
      <c r="JY43" s="23"/>
      <c r="JZ43" s="23"/>
      <c r="KA43" s="23"/>
      <c r="KB43" s="23"/>
      <c r="KC43" s="23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3"/>
      <c r="KP43" s="23"/>
      <c r="KQ43" s="23"/>
      <c r="KR43" s="23"/>
      <c r="KS43" s="17"/>
      <c r="KT43" s="16"/>
      <c r="KU43" s="16">
        <v>0.8</v>
      </c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25"/>
    </row>
    <row r="44" spans="1:321" ht="15" customHeight="1" x14ac:dyDescent="0.2">
      <c r="A44" s="3" t="str">
        <f>crop!A44</f>
        <v>CS #2: rapeseed - wheat - maize - wheat</v>
      </c>
      <c r="B44" s="3" t="str">
        <f>crop!B44</f>
        <v>C.13.2</v>
      </c>
      <c r="C44" s="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17"/>
      <c r="AB44" s="17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17"/>
      <c r="KT44" s="16"/>
      <c r="KU44" s="16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25">
        <v>-0.125</v>
      </c>
    </row>
    <row r="45" spans="1:321" ht="15" customHeight="1" x14ac:dyDescent="0.2">
      <c r="A45" s="3" t="str">
        <f>crop!A45</f>
        <v>CS #2: maize - wheat - maize - barley</v>
      </c>
      <c r="B45" s="3" t="str">
        <f>crop!B45</f>
        <v>C.13.3</v>
      </c>
      <c r="C45" s="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17"/>
      <c r="AB45" s="17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  <c r="JL45" s="23"/>
      <c r="JM45" s="23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  <c r="KG45" s="23"/>
      <c r="KH45" s="23"/>
      <c r="KI45" s="23"/>
      <c r="KJ45" s="23"/>
      <c r="KK45" s="23"/>
      <c r="KL45" s="23"/>
      <c r="KM45" s="23"/>
      <c r="KN45" s="23"/>
      <c r="KO45" s="23"/>
      <c r="KP45" s="23"/>
      <c r="KQ45" s="23"/>
      <c r="KR45" s="23"/>
      <c r="KS45" s="17"/>
      <c r="KT45" s="16"/>
      <c r="KU45" s="16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25">
        <v>-0.125</v>
      </c>
    </row>
    <row r="46" spans="1:321" ht="15" customHeight="1" x14ac:dyDescent="0.2">
      <c r="A46" s="3" t="str">
        <f>crop!A46</f>
        <v>CS #2: alfalfa (3 years) - maize - wheat</v>
      </c>
      <c r="B46" s="3" t="str">
        <f>crop!B46</f>
        <v>C.13.4</v>
      </c>
      <c r="C46" s="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17"/>
      <c r="AB46" s="17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/>
      <c r="KS46" s="17"/>
      <c r="KT46" s="16">
        <v>1.1000000000000001</v>
      </c>
      <c r="KU46" s="16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25">
        <v>-0.125</v>
      </c>
    </row>
    <row r="47" spans="1:321" ht="15" customHeight="1" x14ac:dyDescent="0.2">
      <c r="A47" s="3" t="str">
        <f>crop!A47</f>
        <v>CS #2: faba bean - wheat - rapeseed - maize</v>
      </c>
      <c r="B47" s="3" t="str">
        <f>crop!B47</f>
        <v>C.13.5</v>
      </c>
      <c r="C47" s="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17"/>
      <c r="AB47" s="17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  <c r="JL47" s="23"/>
      <c r="JM47" s="23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  <c r="KG47" s="23"/>
      <c r="KH47" s="23"/>
      <c r="KI47" s="23"/>
      <c r="KJ47" s="23"/>
      <c r="KK47" s="23"/>
      <c r="KL47" s="23"/>
      <c r="KM47" s="23"/>
      <c r="KN47" s="23"/>
      <c r="KO47" s="23"/>
      <c r="KP47" s="23"/>
      <c r="KQ47" s="23"/>
      <c r="KR47" s="23"/>
      <c r="KS47" s="17"/>
      <c r="KT47" s="16">
        <v>1.1000000000000001</v>
      </c>
      <c r="KU47" s="16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25">
        <v>-0.125</v>
      </c>
    </row>
    <row r="48" spans="1:321" ht="15" customHeight="1" x14ac:dyDescent="0.2">
      <c r="A48" s="11" t="str">
        <f>crop!A48</f>
        <v>CS #2: grassland (4 years) - maize - maize</v>
      </c>
      <c r="B48" s="3" t="str">
        <f>crop!B48</f>
        <v>C.13.6</v>
      </c>
      <c r="C48" s="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17"/>
      <c r="AB48" s="17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  <c r="KG48" s="23"/>
      <c r="KH48" s="23"/>
      <c r="KI48" s="23"/>
      <c r="KJ48" s="23"/>
      <c r="KK48" s="23"/>
      <c r="KL48" s="23"/>
      <c r="KM48" s="23"/>
      <c r="KN48" s="23"/>
      <c r="KO48" s="23"/>
      <c r="KP48" s="23"/>
      <c r="KQ48" s="23"/>
      <c r="KR48" s="23"/>
      <c r="KS48" s="17"/>
      <c r="KT48" s="16">
        <v>0.7</v>
      </c>
      <c r="KU48" s="16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25">
        <v>-0.125</v>
      </c>
    </row>
    <row r="49" spans="1:321" ht="15" customHeight="1" x14ac:dyDescent="0.2">
      <c r="A49" s="11" t="str">
        <f>crop!A49</f>
        <v>CS #2: grassland (3 years) - maize - wheat - barley</v>
      </c>
      <c r="B49" s="3" t="str">
        <f>crop!B49</f>
        <v>C.13.7</v>
      </c>
      <c r="C49" s="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17"/>
      <c r="AB49" s="17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  <c r="KG49" s="23"/>
      <c r="KH49" s="23"/>
      <c r="KI49" s="23"/>
      <c r="KJ49" s="23"/>
      <c r="KK49" s="23"/>
      <c r="KL49" s="23"/>
      <c r="KM49" s="23"/>
      <c r="KN49" s="23"/>
      <c r="KO49" s="23"/>
      <c r="KP49" s="23"/>
      <c r="KQ49" s="23"/>
      <c r="KR49" s="23"/>
      <c r="KS49" s="17"/>
      <c r="KT49" s="16">
        <v>0.7</v>
      </c>
      <c r="KU49" s="16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25">
        <v>-0.125</v>
      </c>
    </row>
    <row r="50" spans="1:321" ht="15" customHeight="1" x14ac:dyDescent="0.2">
      <c r="A50" s="3" t="str">
        <f>crop!A50</f>
        <v>CS #2: faba bean - wheat - maize - alfalfa (3 years) - barley - maize</v>
      </c>
      <c r="B50" s="3" t="str">
        <f>crop!B50</f>
        <v>C.13.8</v>
      </c>
      <c r="C50" s="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17"/>
      <c r="AB50" s="17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17"/>
      <c r="KT50" s="16">
        <v>0.8</v>
      </c>
      <c r="KU50" s="16"/>
      <c r="KV50" s="16">
        <v>1</v>
      </c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25">
        <v>-0.25</v>
      </c>
    </row>
    <row r="51" spans="1:321" ht="15" customHeight="1" x14ac:dyDescent="0.2">
      <c r="A51" s="10" t="str">
        <f>crop!A51</f>
        <v>CS #2: grassland (3 years) - maize - wheat - faba bean - rapeseed</v>
      </c>
      <c r="B51" s="10" t="str">
        <f>crop!B51</f>
        <v>C.13.9</v>
      </c>
      <c r="C51" s="18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17"/>
      <c r="AB51" s="17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17"/>
      <c r="KT51" s="16">
        <v>0.8</v>
      </c>
      <c r="KU51" s="16"/>
      <c r="KV51" s="16">
        <v>1</v>
      </c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25">
        <v>-0.25</v>
      </c>
    </row>
    <row r="52" spans="1:321" ht="15" customHeight="1" x14ac:dyDescent="0.2">
      <c r="A52" s="8" t="str">
        <f>crop!A52</f>
        <v>No particular green infrastructure elements</v>
      </c>
      <c r="B52" s="8" t="str">
        <f>crop!B52</f>
        <v>C.14.1</v>
      </c>
      <c r="C52" s="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16"/>
      <c r="AB52" s="16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16"/>
      <c r="KT52" s="16"/>
      <c r="KU52" s="16">
        <v>0.8</v>
      </c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25"/>
    </row>
    <row r="53" spans="1:321" ht="15" customHeight="1" x14ac:dyDescent="0.2">
      <c r="A53" s="3" t="str">
        <f>crop!A53</f>
        <v>Sown field margins as green infrastructures: wildflowers strip</v>
      </c>
      <c r="B53" s="3" t="str">
        <f>crop!B53</f>
        <v>C.14.2</v>
      </c>
      <c r="C53" s="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16"/>
      <c r="AB53" s="16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25"/>
    </row>
    <row r="54" spans="1:321" ht="15" customHeight="1" x14ac:dyDescent="0.2">
      <c r="A54" s="3" t="str">
        <f>crop!A54</f>
        <v>Sown field margins as green infrastructures: beetle bank (for birds and polyphagous predator)</v>
      </c>
      <c r="B54" s="3" t="str">
        <f>crop!B54</f>
        <v>C.14.3</v>
      </c>
      <c r="C54" s="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16"/>
      <c r="AB54" s="16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25">
        <v>-0.125</v>
      </c>
    </row>
    <row r="55" spans="1:321" ht="15" customHeight="1" x14ac:dyDescent="0.2">
      <c r="A55" s="3" t="str">
        <f>crop!A55</f>
        <v>Semi-natural field margins as green infrastructures: hedgerows </v>
      </c>
      <c r="B55" s="3" t="str">
        <f>crop!B55</f>
        <v>C.14.4</v>
      </c>
      <c r="C55" s="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16"/>
      <c r="AB55" s="16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25">
        <v>-0.125</v>
      </c>
    </row>
    <row r="56" spans="1:321" ht="15" customHeight="1" x14ac:dyDescent="0.2">
      <c r="A56" s="10" t="str">
        <f>crop!A56</f>
        <v>Semi-natural field margins as green infrastructures: grass margins</v>
      </c>
      <c r="B56" s="10" t="str">
        <f>crop!B56</f>
        <v>C.14.5</v>
      </c>
      <c r="C56" s="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16"/>
      <c r="AB56" s="16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25"/>
    </row>
    <row r="57" spans="1:321" ht="15" customHeight="1" x14ac:dyDescent="0.2">
      <c r="A57" s="3" t="str">
        <f>crop!A57</f>
        <v>No agroforestry</v>
      </c>
      <c r="B57" s="3" t="str">
        <f>crop!B57</f>
        <v>C.15.1</v>
      </c>
      <c r="C57" s="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16"/>
      <c r="AB57" s="16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25"/>
    </row>
    <row r="58" spans="1:321" ht="15" customHeight="1" x14ac:dyDescent="0.2">
      <c r="A58" s="10" t="str">
        <f>crop!A58</f>
        <v>In-field agroforestry</v>
      </c>
      <c r="B58" s="10" t="str">
        <f>crop!B58</f>
        <v>C.15.2</v>
      </c>
      <c r="C58" s="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16"/>
      <c r="AB58" s="16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25">
        <v>-0.5</v>
      </c>
    </row>
    <row r="59" spans="1:321" ht="15" customHeight="1" x14ac:dyDescent="0.2">
      <c r="A59" s="2" t="str">
        <f>crop!A59</f>
        <v>Balanced strategy between farmer income and investment</v>
      </c>
      <c r="B59" s="2" t="str">
        <f>crop!B59</f>
        <v>E.1.1</v>
      </c>
      <c r="C59" s="18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17"/>
      <c r="AB59" s="17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I59" s="23"/>
      <c r="JJ59" s="23"/>
      <c r="JK59" s="23"/>
      <c r="JL59" s="23"/>
      <c r="JM59" s="23"/>
      <c r="JN59" s="23"/>
      <c r="JO59" s="23"/>
      <c r="JP59" s="23"/>
      <c r="JQ59" s="23"/>
      <c r="JR59" s="23"/>
      <c r="JS59" s="23"/>
      <c r="JT59" s="23"/>
      <c r="JU59" s="23"/>
      <c r="JV59" s="23"/>
      <c r="JW59" s="23"/>
      <c r="JX59" s="23"/>
      <c r="JY59" s="23"/>
      <c r="JZ59" s="23"/>
      <c r="KA59" s="23"/>
      <c r="KB59" s="23"/>
      <c r="KC59" s="23"/>
      <c r="KD59" s="23"/>
      <c r="KE59" s="23"/>
      <c r="KF59" s="23"/>
      <c r="KG59" s="23"/>
      <c r="KH59" s="23"/>
      <c r="KI59" s="23"/>
      <c r="KJ59" s="23"/>
      <c r="KK59" s="23"/>
      <c r="KL59" s="23"/>
      <c r="KM59" s="23"/>
      <c r="KN59" s="23"/>
      <c r="KO59" s="23"/>
      <c r="KP59" s="23"/>
      <c r="KQ59" s="23"/>
      <c r="KR59" s="23"/>
      <c r="KS59" s="17"/>
      <c r="KT59" s="17"/>
      <c r="KU59" s="17"/>
      <c r="KV59" s="17"/>
      <c r="KW59" s="16">
        <v>0.5</v>
      </c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25"/>
    </row>
    <row r="60" spans="1:321" ht="15" customHeight="1" x14ac:dyDescent="0.2">
      <c r="A60" s="2" t="str">
        <f>crop!A60</f>
        <v>Investment-oriented strategy</v>
      </c>
      <c r="B60" s="2" t="str">
        <f>crop!B60</f>
        <v>E.1.2</v>
      </c>
      <c r="C60" s="18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17"/>
      <c r="AB60" s="17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17"/>
      <c r="KT60" s="17"/>
      <c r="KU60" s="17"/>
      <c r="KV60" s="17"/>
      <c r="KW60" s="16">
        <v>0.8</v>
      </c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25"/>
    </row>
    <row r="61" spans="1:321" ht="15" customHeight="1" x14ac:dyDescent="0.2">
      <c r="A61" s="10" t="str">
        <f>crop!A61</f>
        <v>Income-oriented strategy</v>
      </c>
      <c r="B61" s="10" t="str">
        <f>crop!B61</f>
        <v>E.1.3</v>
      </c>
      <c r="C61" s="18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17"/>
      <c r="AB61" s="17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  <c r="IZ61" s="23"/>
      <c r="JA61" s="23"/>
      <c r="JB61" s="23"/>
      <c r="JC61" s="23"/>
      <c r="JD61" s="23"/>
      <c r="JE61" s="23"/>
      <c r="JF61" s="23"/>
      <c r="JG61" s="23"/>
      <c r="JH61" s="23"/>
      <c r="JI61" s="23"/>
      <c r="JJ61" s="23"/>
      <c r="JK61" s="23"/>
      <c r="JL61" s="23"/>
      <c r="JM61" s="23"/>
      <c r="JN61" s="23"/>
      <c r="JO61" s="23"/>
      <c r="JP61" s="23"/>
      <c r="JQ61" s="23"/>
      <c r="JR61" s="23"/>
      <c r="JS61" s="23"/>
      <c r="JT61" s="23"/>
      <c r="JU61" s="23"/>
      <c r="JV61" s="23"/>
      <c r="JW61" s="23"/>
      <c r="JX61" s="23"/>
      <c r="JY61" s="23"/>
      <c r="JZ61" s="23"/>
      <c r="KA61" s="23"/>
      <c r="KB61" s="23"/>
      <c r="KC61" s="23"/>
      <c r="KD61" s="23"/>
      <c r="KE61" s="23"/>
      <c r="KF61" s="23"/>
      <c r="KG61" s="23"/>
      <c r="KH61" s="23"/>
      <c r="KI61" s="23"/>
      <c r="KJ61" s="23"/>
      <c r="KK61" s="23"/>
      <c r="KL61" s="23"/>
      <c r="KM61" s="23"/>
      <c r="KN61" s="23"/>
      <c r="KO61" s="23"/>
      <c r="KP61" s="23"/>
      <c r="KQ61" s="23"/>
      <c r="KR61" s="23"/>
      <c r="KS61" s="17"/>
      <c r="KT61" s="17"/>
      <c r="KU61" s="17"/>
      <c r="KV61" s="17"/>
      <c r="KW61" s="16">
        <v>0.2</v>
      </c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25"/>
    </row>
    <row r="62" spans="1:321" ht="15" customHeight="1" x14ac:dyDescent="0.2">
      <c r="A62" s="3" t="str">
        <f>crop!A62</f>
        <v>Conventional farming</v>
      </c>
      <c r="B62" s="3" t="str">
        <f>crop!B62</f>
        <v>G.1.1</v>
      </c>
      <c r="C62" s="18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17"/>
      <c r="AB62" s="17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  <c r="JL62" s="23"/>
      <c r="JM62" s="23"/>
      <c r="JN62" s="23"/>
      <c r="JO62" s="23"/>
      <c r="JP62" s="23"/>
      <c r="JQ62" s="23"/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/>
      <c r="KK62" s="23"/>
      <c r="KL62" s="23"/>
      <c r="KM62" s="23"/>
      <c r="KN62" s="23"/>
      <c r="KO62" s="23"/>
      <c r="KP62" s="23"/>
      <c r="KQ62" s="23"/>
      <c r="KR62" s="23"/>
      <c r="KS62" s="17"/>
      <c r="KT62" s="17"/>
      <c r="KU62" s="17"/>
      <c r="KV62" s="17"/>
      <c r="KW62" s="16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6"/>
      <c r="LI62" s="25"/>
    </row>
    <row r="63" spans="1:321" ht="15" customHeight="1" x14ac:dyDescent="0.2">
      <c r="A63" s="3" t="str">
        <f>crop!A63</f>
        <v>Organic farming</v>
      </c>
      <c r="B63" s="3" t="str">
        <f>crop!B63</f>
        <v>G.1.2</v>
      </c>
      <c r="C63" s="18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17"/>
      <c r="AB63" s="17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  <c r="IZ63" s="23"/>
      <c r="JA63" s="23"/>
      <c r="JB63" s="23"/>
      <c r="JC63" s="23"/>
      <c r="JD63" s="23"/>
      <c r="JE63" s="23"/>
      <c r="JF63" s="23"/>
      <c r="JG63" s="23"/>
      <c r="JH63" s="23"/>
      <c r="JI63" s="23"/>
      <c r="JJ63" s="23"/>
      <c r="JK63" s="23"/>
      <c r="JL63" s="23"/>
      <c r="JM63" s="23"/>
      <c r="JN63" s="23"/>
      <c r="JO63" s="23"/>
      <c r="JP63" s="23"/>
      <c r="JQ63" s="23"/>
      <c r="JR63" s="23"/>
      <c r="JS63" s="23"/>
      <c r="JT63" s="23"/>
      <c r="JU63" s="23"/>
      <c r="JV63" s="23"/>
      <c r="JW63" s="23"/>
      <c r="JX63" s="23"/>
      <c r="JY63" s="23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17"/>
      <c r="KT63" s="17"/>
      <c r="KU63" s="17"/>
      <c r="KV63" s="17"/>
      <c r="KW63" s="16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6">
        <v>1</v>
      </c>
      <c r="LI63" s="25"/>
    </row>
    <row r="64" spans="1:321" ht="15" customHeight="1" x14ac:dyDescent="0.2">
      <c r="A64" s="7" t="str">
        <f>crop!A64</f>
        <v>Cattle breed is Holstein</v>
      </c>
      <c r="B64" s="7" t="str">
        <f>crop!B64</f>
        <v>A.1.1</v>
      </c>
      <c r="C64" s="18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16"/>
      <c r="AB64" s="16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17"/>
      <c r="KT64" s="17"/>
      <c r="KU64" s="17"/>
      <c r="KV64" s="17"/>
      <c r="KW64" s="17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7"/>
      <c r="LI64" s="25"/>
    </row>
    <row r="65" spans="1:321" ht="15" customHeight="1" x14ac:dyDescent="0.2">
      <c r="A65" s="4" t="str">
        <f>crop!A65</f>
        <v>Cattle breed is Siemmental</v>
      </c>
      <c r="B65" s="4" t="str">
        <f>crop!B65</f>
        <v>A.1.2</v>
      </c>
      <c r="C65" s="18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16"/>
      <c r="AB65" s="16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  <c r="IZ65" s="23"/>
      <c r="JA65" s="23"/>
      <c r="JB65" s="23"/>
      <c r="JC65" s="23"/>
      <c r="JD65" s="23"/>
      <c r="JE65" s="23"/>
      <c r="JF65" s="23"/>
      <c r="JG65" s="23"/>
      <c r="JH65" s="23"/>
      <c r="JI65" s="23"/>
      <c r="JJ65" s="23"/>
      <c r="JK65" s="23"/>
      <c r="JL65" s="23"/>
      <c r="JM65" s="23"/>
      <c r="JN65" s="23"/>
      <c r="JO65" s="23"/>
      <c r="JP65" s="23"/>
      <c r="JQ65" s="23"/>
      <c r="JR65" s="23"/>
      <c r="JS65" s="23"/>
      <c r="JT65" s="23"/>
      <c r="JU65" s="23"/>
      <c r="JV65" s="23"/>
      <c r="JW65" s="23"/>
      <c r="JX65" s="23"/>
      <c r="JY65" s="23"/>
      <c r="JZ65" s="23"/>
      <c r="KA65" s="23"/>
      <c r="KB65" s="23"/>
      <c r="KC65" s="23"/>
      <c r="KD65" s="23"/>
      <c r="KE65" s="23"/>
      <c r="KF65" s="23"/>
      <c r="KG65" s="23"/>
      <c r="KH65" s="23"/>
      <c r="KI65" s="23"/>
      <c r="KJ65" s="23"/>
      <c r="KK65" s="23"/>
      <c r="KL65" s="23"/>
      <c r="KM65" s="23"/>
      <c r="KN65" s="23"/>
      <c r="KO65" s="23"/>
      <c r="KP65" s="23"/>
      <c r="KQ65" s="23"/>
      <c r="KR65" s="23"/>
      <c r="KS65" s="17"/>
      <c r="KT65" s="17"/>
      <c r="KU65" s="17"/>
      <c r="KV65" s="17"/>
      <c r="KW65" s="17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7"/>
      <c r="LI65" s="25"/>
    </row>
    <row r="66" spans="1:321" ht="15" customHeight="1" x14ac:dyDescent="0.2">
      <c r="A66" s="15" t="str">
        <f>crop!A66</f>
        <v>Cattle breed is Montbéliarde</v>
      </c>
      <c r="B66" s="6" t="str">
        <f>crop!B66</f>
        <v>A.1.3</v>
      </c>
      <c r="C66" s="18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16"/>
      <c r="AB66" s="16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  <c r="IZ66" s="23"/>
      <c r="JA66" s="23"/>
      <c r="JB66" s="23"/>
      <c r="JC66" s="23"/>
      <c r="JD66" s="23"/>
      <c r="JE66" s="23"/>
      <c r="JF66" s="23"/>
      <c r="JG66" s="23"/>
      <c r="JH66" s="23"/>
      <c r="JI66" s="23"/>
      <c r="JJ66" s="23"/>
      <c r="JK66" s="23"/>
      <c r="JL66" s="23"/>
      <c r="JM66" s="23"/>
      <c r="JN66" s="23"/>
      <c r="JO66" s="23"/>
      <c r="JP66" s="23"/>
      <c r="JQ66" s="23"/>
      <c r="JR66" s="23"/>
      <c r="JS66" s="23"/>
      <c r="JT66" s="23"/>
      <c r="JU66" s="23"/>
      <c r="JV66" s="23"/>
      <c r="JW66" s="23"/>
      <c r="JX66" s="23"/>
      <c r="JY66" s="23"/>
      <c r="JZ66" s="23"/>
      <c r="KA66" s="23"/>
      <c r="KB66" s="23"/>
      <c r="KC66" s="23"/>
      <c r="KD66" s="23"/>
      <c r="KE66" s="23"/>
      <c r="KF66" s="23"/>
      <c r="KG66" s="23"/>
      <c r="KH66" s="23"/>
      <c r="KI66" s="23"/>
      <c r="KJ66" s="23"/>
      <c r="KK66" s="23"/>
      <c r="KL66" s="23"/>
      <c r="KM66" s="23"/>
      <c r="KN66" s="23"/>
      <c r="KO66" s="23"/>
      <c r="KP66" s="23"/>
      <c r="KQ66" s="23"/>
      <c r="KR66" s="23"/>
      <c r="KS66" s="17"/>
      <c r="KT66" s="17"/>
      <c r="KU66" s="17"/>
      <c r="KV66" s="17"/>
      <c r="KW66" s="17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7"/>
      <c r="LI66" s="25"/>
    </row>
    <row r="67" spans="1:321" ht="15" customHeight="1" x14ac:dyDescent="0.2">
      <c r="A67" s="1" t="str">
        <f>crop!A67</f>
        <v>Initial herd size</v>
      </c>
      <c r="B67" s="1" t="str">
        <f>crop!B67</f>
        <v>A.2.1</v>
      </c>
      <c r="C67" s="18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16"/>
      <c r="AB67" s="16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17"/>
      <c r="KT67" s="17"/>
      <c r="KU67" s="17"/>
      <c r="KV67" s="17"/>
      <c r="KW67" s="17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7"/>
      <c r="LI67" s="25"/>
    </row>
    <row r="68" spans="1:321" ht="15" customHeight="1" x14ac:dyDescent="0.2">
      <c r="A68" s="1" t="str">
        <f>crop!A68</f>
        <v>15% increase of initial herd size (no building modification)</v>
      </c>
      <c r="B68" s="1" t="str">
        <f>crop!B68</f>
        <v>A.2.2</v>
      </c>
      <c r="C68" s="18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16"/>
      <c r="AB68" s="16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23"/>
      <c r="JA68" s="23"/>
      <c r="JB68" s="23"/>
      <c r="JC68" s="23"/>
      <c r="JD68" s="23"/>
      <c r="JE68" s="23"/>
      <c r="JF68" s="23"/>
      <c r="JG68" s="23"/>
      <c r="JH68" s="23"/>
      <c r="JI68" s="23"/>
      <c r="JJ68" s="23"/>
      <c r="JK68" s="23"/>
      <c r="JL68" s="23"/>
      <c r="JM68" s="23"/>
      <c r="JN68" s="23"/>
      <c r="JO68" s="23"/>
      <c r="JP68" s="23"/>
      <c r="JQ68" s="23"/>
      <c r="JR68" s="23"/>
      <c r="JS68" s="23"/>
      <c r="JT68" s="23"/>
      <c r="JU68" s="23"/>
      <c r="JV68" s="23"/>
      <c r="JW68" s="23"/>
      <c r="JX68" s="23"/>
      <c r="JY68" s="23"/>
      <c r="JZ68" s="23"/>
      <c r="KA68" s="23"/>
      <c r="KB68" s="23"/>
      <c r="KC68" s="23"/>
      <c r="KD68" s="23"/>
      <c r="KE68" s="23"/>
      <c r="KF68" s="23"/>
      <c r="KG68" s="23"/>
      <c r="KH68" s="23"/>
      <c r="KI68" s="23"/>
      <c r="KJ68" s="23"/>
      <c r="KK68" s="23"/>
      <c r="KL68" s="23"/>
      <c r="KM68" s="23"/>
      <c r="KN68" s="23"/>
      <c r="KO68" s="23"/>
      <c r="KP68" s="23"/>
      <c r="KQ68" s="23"/>
      <c r="KR68" s="23"/>
      <c r="KS68" s="17"/>
      <c r="KT68" s="17"/>
      <c r="KU68" s="17"/>
      <c r="KV68" s="17"/>
      <c r="KW68" s="17"/>
      <c r="KX68" s="16">
        <v>1.05</v>
      </c>
      <c r="KY68" s="16"/>
      <c r="KZ68" s="16"/>
      <c r="LA68" s="16"/>
      <c r="LB68" s="16"/>
      <c r="LC68" s="16">
        <v>1.05</v>
      </c>
      <c r="LD68" s="16"/>
      <c r="LE68" s="16"/>
      <c r="LF68" s="16"/>
      <c r="LG68" s="16"/>
      <c r="LH68" s="17"/>
      <c r="LI68" s="25">
        <v>-0.25</v>
      </c>
    </row>
    <row r="69" spans="1:321" ht="15" customHeight="1" x14ac:dyDescent="0.2">
      <c r="A69" s="1" t="str">
        <f>crop!A69</f>
        <v>15% increase of initial herd size (building modification)</v>
      </c>
      <c r="B69" s="1" t="str">
        <f>crop!B69</f>
        <v>A.2.3</v>
      </c>
      <c r="C69" s="18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16"/>
      <c r="AB69" s="16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  <c r="IZ69" s="23"/>
      <c r="JA69" s="23"/>
      <c r="JB69" s="23"/>
      <c r="JC69" s="23"/>
      <c r="JD69" s="23"/>
      <c r="JE69" s="23"/>
      <c r="JF69" s="23"/>
      <c r="JG69" s="23"/>
      <c r="JH69" s="23"/>
      <c r="JI69" s="23"/>
      <c r="JJ69" s="23"/>
      <c r="JK69" s="23"/>
      <c r="JL69" s="23"/>
      <c r="JM69" s="23"/>
      <c r="JN69" s="23"/>
      <c r="JO69" s="23"/>
      <c r="JP69" s="23"/>
      <c r="JQ69" s="23"/>
      <c r="JR69" s="23"/>
      <c r="JS69" s="23"/>
      <c r="JT69" s="23"/>
      <c r="JU69" s="23"/>
      <c r="JV69" s="23"/>
      <c r="JW69" s="23"/>
      <c r="JX69" s="23"/>
      <c r="JY69" s="23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17"/>
      <c r="KT69" s="17"/>
      <c r="KU69" s="17"/>
      <c r="KV69" s="17"/>
      <c r="KW69" s="17"/>
      <c r="KX69" s="16">
        <v>1.05</v>
      </c>
      <c r="KY69" s="16"/>
      <c r="KZ69" s="16"/>
      <c r="LA69" s="16"/>
      <c r="LB69" s="16"/>
      <c r="LC69" s="16"/>
      <c r="LD69" s="16"/>
      <c r="LE69" s="16"/>
      <c r="LF69" s="16"/>
      <c r="LG69" s="16"/>
      <c r="LH69" s="17"/>
      <c r="LI69" s="25">
        <v>-0.25</v>
      </c>
    </row>
    <row r="70" spans="1:321" ht="15" customHeight="1" x14ac:dyDescent="0.2">
      <c r="A70" s="1" t="str">
        <f>crop!A70</f>
        <v>30% increase of initial herd size (building modification)</v>
      </c>
      <c r="B70" s="1" t="str">
        <f>crop!B70</f>
        <v>A.2.4</v>
      </c>
      <c r="C70" s="18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16"/>
      <c r="AB70" s="16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17"/>
      <c r="KT70" s="17"/>
      <c r="KU70" s="17"/>
      <c r="KV70" s="17"/>
      <c r="KW70" s="17"/>
      <c r="KX70" s="16">
        <v>0.76923076923076916</v>
      </c>
      <c r="KY70" s="16"/>
      <c r="KZ70" s="16"/>
      <c r="LA70" s="16"/>
      <c r="LB70" s="16"/>
      <c r="LC70" s="16"/>
      <c r="LD70" s="16"/>
      <c r="LE70" s="16"/>
      <c r="LF70" s="16"/>
      <c r="LG70" s="16"/>
      <c r="LH70" s="17"/>
      <c r="LI70" s="25">
        <v>-0.25</v>
      </c>
    </row>
    <row r="71" spans="1:321" ht="15" customHeight="1" x14ac:dyDescent="0.2">
      <c r="A71" s="4" t="str">
        <f>crop!A71</f>
        <v>15% decrease of initial herd size</v>
      </c>
      <c r="B71" s="4" t="str">
        <f>crop!B71</f>
        <v>A.2.5</v>
      </c>
      <c r="C71" s="18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16"/>
      <c r="AB71" s="16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  <c r="IZ71" s="23"/>
      <c r="JA71" s="23"/>
      <c r="JB71" s="23"/>
      <c r="JC71" s="23"/>
      <c r="JD71" s="23"/>
      <c r="JE71" s="23"/>
      <c r="JF71" s="23"/>
      <c r="JG71" s="23"/>
      <c r="JH71" s="23"/>
      <c r="JI71" s="23"/>
      <c r="JJ71" s="23"/>
      <c r="JK71" s="23"/>
      <c r="JL71" s="23"/>
      <c r="JM71" s="23"/>
      <c r="JN71" s="23"/>
      <c r="JO71" s="23"/>
      <c r="JP71" s="23"/>
      <c r="JQ71" s="23"/>
      <c r="JR71" s="23"/>
      <c r="JS71" s="23"/>
      <c r="JT71" s="23"/>
      <c r="JU71" s="23"/>
      <c r="JV71" s="23"/>
      <c r="JW71" s="23"/>
      <c r="JX71" s="23"/>
      <c r="JY71" s="23"/>
      <c r="JZ71" s="23"/>
      <c r="KA71" s="23"/>
      <c r="KB71" s="23"/>
      <c r="KC71" s="23"/>
      <c r="KD71" s="23"/>
      <c r="KE71" s="23"/>
      <c r="KF71" s="23"/>
      <c r="KG71" s="23"/>
      <c r="KH71" s="23"/>
      <c r="KI71" s="23"/>
      <c r="KJ71" s="23"/>
      <c r="KK71" s="23"/>
      <c r="KL71" s="23"/>
      <c r="KM71" s="23"/>
      <c r="KN71" s="23"/>
      <c r="KO71" s="23"/>
      <c r="KP71" s="23"/>
      <c r="KQ71" s="23"/>
      <c r="KR71" s="23"/>
      <c r="KS71" s="17"/>
      <c r="KT71" s="17"/>
      <c r="KU71" s="17"/>
      <c r="KV71" s="17"/>
      <c r="KW71" s="17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7"/>
      <c r="LI71" s="25"/>
    </row>
    <row r="72" spans="1:321" ht="15" customHeight="1" x14ac:dyDescent="0.2">
      <c r="A72" s="6" t="str">
        <f>crop!A72</f>
        <v>30% decrease of initial herd size</v>
      </c>
      <c r="B72" s="6" t="str">
        <f>crop!B72</f>
        <v>A.2.6</v>
      </c>
      <c r="C72" s="18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16"/>
      <c r="AB72" s="16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  <c r="IZ72" s="23"/>
      <c r="JA72" s="23"/>
      <c r="JB72" s="23"/>
      <c r="JC72" s="23"/>
      <c r="JD72" s="23"/>
      <c r="JE72" s="23"/>
      <c r="JF72" s="23"/>
      <c r="JG72" s="23"/>
      <c r="JH72" s="23"/>
      <c r="JI72" s="23"/>
      <c r="JJ72" s="23"/>
      <c r="JK72" s="23"/>
      <c r="JL72" s="23"/>
      <c r="JM72" s="23"/>
      <c r="JN72" s="23"/>
      <c r="JO72" s="23"/>
      <c r="JP72" s="23"/>
      <c r="JQ72" s="23"/>
      <c r="JR72" s="23"/>
      <c r="JS72" s="23"/>
      <c r="JT72" s="23"/>
      <c r="JU72" s="23"/>
      <c r="JV72" s="23"/>
      <c r="JW72" s="23"/>
      <c r="JX72" s="23"/>
      <c r="JY72" s="23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17"/>
      <c r="KT72" s="17"/>
      <c r="KU72" s="17"/>
      <c r="KV72" s="17"/>
      <c r="KW72" s="17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7"/>
      <c r="LI72" s="25"/>
    </row>
    <row r="73" spans="1:321" ht="15" customHeight="1" x14ac:dyDescent="0.2">
      <c r="A73" s="1" t="str">
        <f>crop!A73</f>
        <v>Bulls fattened up to 18 months</v>
      </c>
      <c r="B73" s="1" t="str">
        <f>crop!B73</f>
        <v>A.3.1</v>
      </c>
      <c r="C73" s="18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16"/>
      <c r="AB73" s="16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  <c r="IZ73" s="23"/>
      <c r="JA73" s="23"/>
      <c r="JB73" s="23"/>
      <c r="JC73" s="23"/>
      <c r="JD73" s="23"/>
      <c r="JE73" s="23"/>
      <c r="JF73" s="23"/>
      <c r="JG73" s="23"/>
      <c r="JH73" s="23"/>
      <c r="JI73" s="23"/>
      <c r="JJ73" s="23"/>
      <c r="JK73" s="23"/>
      <c r="JL73" s="23"/>
      <c r="JM73" s="23"/>
      <c r="JN73" s="23"/>
      <c r="JO73" s="23"/>
      <c r="JP73" s="23"/>
      <c r="JQ73" s="23"/>
      <c r="JR73" s="23"/>
      <c r="JS73" s="23"/>
      <c r="JT73" s="23"/>
      <c r="JU73" s="23"/>
      <c r="JV73" s="23"/>
      <c r="JW73" s="23"/>
      <c r="JX73" s="23"/>
      <c r="JY73" s="23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17"/>
      <c r="KT73" s="17"/>
      <c r="KU73" s="17"/>
      <c r="KV73" s="17"/>
      <c r="KW73" s="17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7"/>
      <c r="LI73" s="25">
        <v>-0.5</v>
      </c>
    </row>
    <row r="74" spans="1:321" ht="15" customHeight="1" x14ac:dyDescent="0.2">
      <c r="A74" s="1" t="str">
        <f>crop!A74</f>
        <v>Castrated males fattened up to 36 months (steer)</v>
      </c>
      <c r="B74" s="1" t="str">
        <f>crop!B74</f>
        <v>A.3.2</v>
      </c>
      <c r="C74" s="18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16"/>
      <c r="AB74" s="16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  <c r="IZ74" s="23"/>
      <c r="JA74" s="23"/>
      <c r="JB74" s="23"/>
      <c r="JC74" s="23"/>
      <c r="JD74" s="23"/>
      <c r="JE74" s="23"/>
      <c r="JF74" s="23"/>
      <c r="JG74" s="23"/>
      <c r="JH74" s="23"/>
      <c r="JI74" s="23"/>
      <c r="JJ74" s="23"/>
      <c r="JK74" s="23"/>
      <c r="JL74" s="23"/>
      <c r="JM74" s="23"/>
      <c r="JN74" s="23"/>
      <c r="JO74" s="23"/>
      <c r="JP74" s="23"/>
      <c r="JQ74" s="23"/>
      <c r="JR74" s="23"/>
      <c r="JS74" s="23"/>
      <c r="JT74" s="23"/>
      <c r="JU74" s="23"/>
      <c r="JV74" s="23"/>
      <c r="JW74" s="23"/>
      <c r="JX74" s="23"/>
      <c r="JY74" s="23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17"/>
      <c r="KT74" s="17"/>
      <c r="KU74" s="17"/>
      <c r="KV74" s="17"/>
      <c r="KW74" s="17"/>
      <c r="KX74" s="16"/>
      <c r="KY74" s="16"/>
      <c r="KZ74" s="16">
        <v>0.9</v>
      </c>
      <c r="LA74" s="16"/>
      <c r="LB74" s="16">
        <v>0.9</v>
      </c>
      <c r="LC74" s="16"/>
      <c r="LD74" s="16">
        <v>0.9</v>
      </c>
      <c r="LE74" s="16"/>
      <c r="LF74" s="16">
        <v>0.9</v>
      </c>
      <c r="LG74" s="16"/>
      <c r="LH74" s="17"/>
      <c r="LI74" s="25">
        <v>-0.5</v>
      </c>
    </row>
    <row r="75" spans="1:321" ht="15" customHeight="1" x14ac:dyDescent="0.2">
      <c r="A75" s="6" t="str">
        <f>crop!A75</f>
        <v>Male calves sold at 8 days</v>
      </c>
      <c r="B75" s="6" t="str">
        <f>crop!B75</f>
        <v>A.3.3</v>
      </c>
      <c r="C75" s="18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16"/>
      <c r="AB75" s="16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  <c r="IZ75" s="23"/>
      <c r="JA75" s="23"/>
      <c r="JB75" s="23"/>
      <c r="JC75" s="23"/>
      <c r="JD75" s="23"/>
      <c r="JE75" s="23"/>
      <c r="JF75" s="23"/>
      <c r="JG75" s="23"/>
      <c r="JH75" s="23"/>
      <c r="JI75" s="23"/>
      <c r="JJ75" s="23"/>
      <c r="JK75" s="23"/>
      <c r="JL75" s="23"/>
      <c r="JM75" s="23"/>
      <c r="JN75" s="23"/>
      <c r="JO75" s="23"/>
      <c r="JP75" s="23"/>
      <c r="JQ75" s="23"/>
      <c r="JR75" s="23"/>
      <c r="JS75" s="23"/>
      <c r="JT75" s="23"/>
      <c r="JU75" s="23"/>
      <c r="JV75" s="23"/>
      <c r="JW75" s="23"/>
      <c r="JX75" s="23"/>
      <c r="JY75" s="23"/>
      <c r="JZ75" s="23"/>
      <c r="KA75" s="23"/>
      <c r="KB75" s="23"/>
      <c r="KC75" s="23"/>
      <c r="KD75" s="23"/>
      <c r="KE75" s="23"/>
      <c r="KF75" s="23"/>
      <c r="KG75" s="23"/>
      <c r="KH75" s="23"/>
      <c r="KI75" s="23"/>
      <c r="KJ75" s="23"/>
      <c r="KK75" s="23"/>
      <c r="KL75" s="23"/>
      <c r="KM75" s="23"/>
      <c r="KN75" s="23"/>
      <c r="KO75" s="23"/>
      <c r="KP75" s="23"/>
      <c r="KQ75" s="23"/>
      <c r="KR75" s="23"/>
      <c r="KS75" s="17"/>
      <c r="KT75" s="17"/>
      <c r="KU75" s="17"/>
      <c r="KV75" s="17"/>
      <c r="KW75" s="17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7"/>
      <c r="LI75" s="25"/>
    </row>
    <row r="76" spans="1:321" ht="15" customHeight="1" x14ac:dyDescent="0.2">
      <c r="A76" s="1" t="str">
        <f>crop!A76</f>
        <v>Cows are tied on straw bedding</v>
      </c>
      <c r="B76" s="1" t="str">
        <f>crop!B76</f>
        <v>A.4.1</v>
      </c>
      <c r="C76" s="18"/>
      <c r="D76" s="24">
        <v>11.57</v>
      </c>
      <c r="E76" s="24">
        <v>11.57</v>
      </c>
      <c r="F76" s="24">
        <v>11.57</v>
      </c>
      <c r="G76" s="24">
        <v>11.57</v>
      </c>
      <c r="H76" s="24">
        <v>11.57</v>
      </c>
      <c r="I76" s="24">
        <v>-11.57</v>
      </c>
      <c r="J76" s="24"/>
      <c r="K76" s="24">
        <v>11.57</v>
      </c>
      <c r="L76" s="24"/>
      <c r="M76" s="24">
        <v>11.57</v>
      </c>
      <c r="N76" s="24">
        <v>11.57</v>
      </c>
      <c r="O76" s="24">
        <v>11.57</v>
      </c>
      <c r="P76" s="24">
        <v>11.57</v>
      </c>
      <c r="Q76" s="24">
        <v>11.57</v>
      </c>
      <c r="R76" s="24">
        <v>11.57</v>
      </c>
      <c r="S76" s="24">
        <v>11.57</v>
      </c>
      <c r="T76" s="24">
        <v>-11.57</v>
      </c>
      <c r="U76" s="24"/>
      <c r="V76" s="24">
        <v>11.57</v>
      </c>
      <c r="W76" s="24"/>
      <c r="X76" s="24">
        <v>11.57</v>
      </c>
      <c r="Y76" s="24">
        <v>11.57</v>
      </c>
      <c r="Z76" s="24">
        <v>11.57</v>
      </c>
      <c r="AA76" s="16">
        <v>2.5</v>
      </c>
      <c r="AB76" s="16">
        <v>7.4999999999999997E-2</v>
      </c>
      <c r="AC76" s="24"/>
      <c r="AD76" s="24">
        <f>1.33/2</f>
        <v>0.66500000000000004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>
        <f>1.33/2</f>
        <v>0.66500000000000004</v>
      </c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>
        <f>1.33/2</f>
        <v>0.66500000000000004</v>
      </c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>
        <f>1.33/2</f>
        <v>0.66500000000000004</v>
      </c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>
        <f>1.33/2</f>
        <v>0.66500000000000004</v>
      </c>
      <c r="CH76" s="24"/>
      <c r="CI76" s="24"/>
      <c r="CJ76" s="24"/>
      <c r="CK76" s="24"/>
      <c r="CL76" s="24">
        <f>-1.33/2</f>
        <v>-0.66500000000000004</v>
      </c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>
        <f>1.33/2</f>
        <v>0.66500000000000004</v>
      </c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>
        <f>1.33/2</f>
        <v>0.66500000000000004</v>
      </c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>
        <f>1.33/2</f>
        <v>0.66500000000000004</v>
      </c>
      <c r="FA76" s="24"/>
      <c r="FB76" s="24"/>
      <c r="FC76" s="24"/>
      <c r="FD76" s="24"/>
      <c r="FE76" s="24"/>
      <c r="FF76" s="24">
        <f>1.33/2</f>
        <v>0.66500000000000004</v>
      </c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>
        <f>1.33/2</f>
        <v>0.66500000000000004</v>
      </c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>
        <f>1.33/2</f>
        <v>0.66500000000000004</v>
      </c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>
        <f>1.33/2</f>
        <v>0.66500000000000004</v>
      </c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>
        <f>1.33/2</f>
        <v>0.66500000000000004</v>
      </c>
      <c r="HJ76" s="24"/>
      <c r="HK76" s="24"/>
      <c r="HL76" s="24"/>
      <c r="HM76" s="24"/>
      <c r="HN76" s="24">
        <f>-1.33/2</f>
        <v>-0.66500000000000004</v>
      </c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>
        <f>1.33/2</f>
        <v>0.66500000000000004</v>
      </c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>
        <f>1.33/2</f>
        <v>0.66500000000000004</v>
      </c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>
        <f>1.33/2</f>
        <v>0.66500000000000004</v>
      </c>
      <c r="KC76" s="24"/>
      <c r="KD76" s="24"/>
      <c r="KE76" s="24"/>
      <c r="KF76" s="24"/>
      <c r="KG76" s="24"/>
      <c r="KH76" s="24"/>
      <c r="KI76" s="24"/>
      <c r="KJ76" s="24"/>
      <c r="KK76" s="24"/>
      <c r="KL76" s="24"/>
      <c r="KM76" s="24"/>
      <c r="KN76" s="24">
        <f>1.33/2</f>
        <v>0.66500000000000004</v>
      </c>
      <c r="KO76" s="24"/>
      <c r="KP76" s="24"/>
      <c r="KQ76" s="24"/>
      <c r="KR76" s="24"/>
      <c r="KS76" s="17"/>
      <c r="KT76" s="17"/>
      <c r="KU76" s="17"/>
      <c r="KV76" s="17"/>
      <c r="KW76" s="17"/>
      <c r="KX76" s="16"/>
      <c r="KY76" s="16"/>
      <c r="KZ76" s="16"/>
      <c r="LA76" s="16">
        <v>2</v>
      </c>
      <c r="LB76" s="16"/>
      <c r="LC76" s="16"/>
      <c r="LD76" s="16"/>
      <c r="LE76" s="16">
        <v>1.2</v>
      </c>
      <c r="LF76" s="16"/>
      <c r="LG76" s="16"/>
      <c r="LH76" s="17"/>
      <c r="LI76" s="25"/>
    </row>
    <row r="77" spans="1:321" ht="15" customHeight="1" x14ac:dyDescent="0.2">
      <c r="A77" s="1" t="str">
        <f>crop!A77</f>
        <v>Housing of cows is cubicles with straw (shallow bedding)</v>
      </c>
      <c r="B77" s="1" t="str">
        <f>crop!B77</f>
        <v>A.4.2</v>
      </c>
      <c r="C77" s="18"/>
      <c r="D77" s="24">
        <v>11.57</v>
      </c>
      <c r="E77" s="24">
        <v>11.57</v>
      </c>
      <c r="F77" s="24">
        <v>11.57</v>
      </c>
      <c r="G77" s="24">
        <v>11.57</v>
      </c>
      <c r="H77" s="24">
        <v>11.57</v>
      </c>
      <c r="I77" s="24">
        <v>-11.57</v>
      </c>
      <c r="J77" s="24"/>
      <c r="K77" s="24">
        <v>11.57</v>
      </c>
      <c r="L77" s="24"/>
      <c r="M77" s="24">
        <v>11.57</v>
      </c>
      <c r="N77" s="24">
        <v>11.57</v>
      </c>
      <c r="O77" s="24">
        <v>11.57</v>
      </c>
      <c r="P77" s="24">
        <v>11.57</v>
      </c>
      <c r="Q77" s="24">
        <v>11.57</v>
      </c>
      <c r="R77" s="24">
        <v>11.57</v>
      </c>
      <c r="S77" s="24">
        <v>11.57</v>
      </c>
      <c r="T77" s="24">
        <v>-11.57</v>
      </c>
      <c r="U77" s="24"/>
      <c r="V77" s="24">
        <v>11.57</v>
      </c>
      <c r="W77" s="24"/>
      <c r="X77" s="24">
        <v>11.57</v>
      </c>
      <c r="Y77" s="24">
        <v>11.57</v>
      </c>
      <c r="Z77" s="24">
        <v>11.57</v>
      </c>
      <c r="AA77" s="16">
        <v>2.5</v>
      </c>
      <c r="AB77" s="16">
        <v>6.6000000000000003E-2</v>
      </c>
      <c r="AC77" s="24"/>
      <c r="AD77" s="24">
        <f>1.33/2</f>
        <v>0.66500000000000004</v>
      </c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>
        <f>1.33/2</f>
        <v>0.66500000000000004</v>
      </c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>
        <f>1.33/2</f>
        <v>0.66500000000000004</v>
      </c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>
        <f>1.33/2</f>
        <v>0.66500000000000004</v>
      </c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>
        <f>1.33/2</f>
        <v>0.66500000000000004</v>
      </c>
      <c r="CH77" s="24"/>
      <c r="CI77" s="24"/>
      <c r="CJ77" s="24"/>
      <c r="CK77" s="24"/>
      <c r="CL77" s="24">
        <f>-1.33/2</f>
        <v>-0.66500000000000004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>
        <f>1.33/2</f>
        <v>0.66500000000000004</v>
      </c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>
        <f>1.33/2</f>
        <v>0.66500000000000004</v>
      </c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>
        <f>1.33/2</f>
        <v>0.66500000000000004</v>
      </c>
      <c r="FA77" s="24"/>
      <c r="FB77" s="24"/>
      <c r="FC77" s="24"/>
      <c r="FD77" s="24"/>
      <c r="FE77" s="24"/>
      <c r="FF77" s="24">
        <f>1.33/2</f>
        <v>0.66500000000000004</v>
      </c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>
        <f>1.33/2</f>
        <v>0.66500000000000004</v>
      </c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>
        <f>1.33/2</f>
        <v>0.66500000000000004</v>
      </c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>
        <f>1.33/2</f>
        <v>0.66500000000000004</v>
      </c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>
        <f>1.33/2</f>
        <v>0.66500000000000004</v>
      </c>
      <c r="HJ77" s="24"/>
      <c r="HK77" s="24"/>
      <c r="HL77" s="24"/>
      <c r="HM77" s="24"/>
      <c r="HN77" s="24">
        <f>-1.33/2</f>
        <v>-0.66500000000000004</v>
      </c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>
        <f>1.33/2</f>
        <v>0.66500000000000004</v>
      </c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>
        <f>1.33/2</f>
        <v>0.66500000000000004</v>
      </c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>
        <f>1.33/2</f>
        <v>0.66500000000000004</v>
      </c>
      <c r="KC77" s="24"/>
      <c r="KD77" s="24"/>
      <c r="KE77" s="24"/>
      <c r="KF77" s="24"/>
      <c r="KG77" s="24"/>
      <c r="KH77" s="24"/>
      <c r="KI77" s="24"/>
      <c r="KJ77" s="24"/>
      <c r="KK77" s="24"/>
      <c r="KL77" s="24"/>
      <c r="KM77" s="24"/>
      <c r="KN77" s="24">
        <f>1.33/2</f>
        <v>0.66500000000000004</v>
      </c>
      <c r="KO77" s="24"/>
      <c r="KP77" s="24"/>
      <c r="KQ77" s="24"/>
      <c r="KR77" s="24"/>
      <c r="KS77" s="17"/>
      <c r="KT77" s="17"/>
      <c r="KU77" s="17"/>
      <c r="KV77" s="17"/>
      <c r="KW77" s="17"/>
      <c r="KX77" s="16"/>
      <c r="KY77" s="16"/>
      <c r="KZ77" s="16"/>
      <c r="LA77" s="16">
        <v>1.2</v>
      </c>
      <c r="LB77" s="16"/>
      <c r="LC77" s="16"/>
      <c r="LD77" s="16"/>
      <c r="LE77" s="16"/>
      <c r="LF77" s="16"/>
      <c r="LG77" s="27">
        <v>165600</v>
      </c>
      <c r="LH77" s="17"/>
      <c r="LI77" s="25"/>
    </row>
    <row r="78" spans="1:321" ht="15" customHeight="1" x14ac:dyDescent="0.2">
      <c r="A78" s="1" t="str">
        <f>crop!A78</f>
        <v>Housing of cows is cubicles with slatted floor</v>
      </c>
      <c r="B78" s="1" t="str">
        <f>crop!B78</f>
        <v>A.4.3</v>
      </c>
      <c r="C78" s="18"/>
      <c r="D78" s="24">
        <v>5</v>
      </c>
      <c r="E78" s="24">
        <v>5</v>
      </c>
      <c r="F78" s="24">
        <v>5</v>
      </c>
      <c r="G78" s="24">
        <v>5</v>
      </c>
      <c r="H78" s="24">
        <v>5</v>
      </c>
      <c r="I78" s="24">
        <v>-5</v>
      </c>
      <c r="J78" s="24"/>
      <c r="K78" s="24">
        <v>5</v>
      </c>
      <c r="L78" s="24"/>
      <c r="M78" s="24">
        <v>5</v>
      </c>
      <c r="N78" s="24">
        <v>5</v>
      </c>
      <c r="O78" s="24">
        <v>5</v>
      </c>
      <c r="P78" s="24">
        <v>5</v>
      </c>
      <c r="Q78" s="24">
        <v>5</v>
      </c>
      <c r="R78" s="24">
        <v>5</v>
      </c>
      <c r="S78" s="24">
        <v>5</v>
      </c>
      <c r="T78" s="24">
        <v>-5</v>
      </c>
      <c r="U78" s="24"/>
      <c r="V78" s="24">
        <v>5</v>
      </c>
      <c r="W78" s="24"/>
      <c r="X78" s="24">
        <v>5</v>
      </c>
      <c r="Y78" s="24">
        <v>5</v>
      </c>
      <c r="Z78" s="24">
        <v>5</v>
      </c>
      <c r="AA78" s="16">
        <v>0.60000000000000009</v>
      </c>
      <c r="AB78" s="16">
        <v>6.6000000000000003E-2</v>
      </c>
      <c r="AC78" s="24"/>
      <c r="AD78" s="24">
        <f>1/2</f>
        <v>0.5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>
        <f>1/2</f>
        <v>0.5</v>
      </c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>
        <f>1/2</f>
        <v>0.5</v>
      </c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>
        <f>1/2</f>
        <v>0.5</v>
      </c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>
        <f>1/2</f>
        <v>0.5</v>
      </c>
      <c r="CH78" s="24"/>
      <c r="CI78" s="24"/>
      <c r="CJ78" s="24"/>
      <c r="CK78" s="24"/>
      <c r="CL78" s="24">
        <f>-1/2</f>
        <v>-0.5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>
        <f>1/2</f>
        <v>0.5</v>
      </c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>
        <f>1/2</f>
        <v>0.5</v>
      </c>
      <c r="EK78" s="24"/>
      <c r="EL78" s="24"/>
      <c r="EM78" s="24"/>
      <c r="EN78" s="24"/>
      <c r="EO78" s="24"/>
      <c r="EP78" s="24"/>
      <c r="EQ78" s="24"/>
      <c r="ER78" s="24"/>
      <c r="ES78" s="24"/>
      <c r="ET78" s="24">
        <f>1/2</f>
        <v>0.5</v>
      </c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>
        <f>1/2</f>
        <v>0.5</v>
      </c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>
        <f>1/2</f>
        <v>0.5</v>
      </c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>
        <f>1/2</f>
        <v>0.5</v>
      </c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>
        <f>1/2</f>
        <v>0.5</v>
      </c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>
        <f>1/2</f>
        <v>0.5</v>
      </c>
      <c r="HJ78" s="24"/>
      <c r="HK78" s="24"/>
      <c r="HL78" s="24"/>
      <c r="HM78" s="24"/>
      <c r="HN78" s="24">
        <f>-1/2</f>
        <v>-0.5</v>
      </c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>
        <f>1/2</f>
        <v>0.5</v>
      </c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>
        <f>1/2</f>
        <v>0.5</v>
      </c>
      <c r="JM78" s="24"/>
      <c r="JN78" s="24"/>
      <c r="JO78" s="24"/>
      <c r="JP78" s="24"/>
      <c r="JQ78" s="24"/>
      <c r="JR78" s="24"/>
      <c r="JS78" s="24"/>
      <c r="JT78" s="24"/>
      <c r="JU78" s="24"/>
      <c r="JV78" s="24">
        <f>1/2</f>
        <v>0.5</v>
      </c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>
        <f>1/2</f>
        <v>0.5</v>
      </c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17"/>
      <c r="KT78" s="17"/>
      <c r="KU78" s="17"/>
      <c r="KV78" s="17"/>
      <c r="KW78" s="17"/>
      <c r="KX78" s="16"/>
      <c r="KY78" s="16"/>
      <c r="KZ78" s="16"/>
      <c r="LA78" s="16">
        <v>0.4</v>
      </c>
      <c r="LB78" s="16"/>
      <c r="LC78" s="16"/>
      <c r="LD78" s="16"/>
      <c r="LE78" s="16"/>
      <c r="LF78" s="16"/>
      <c r="LG78" s="27">
        <v>178800</v>
      </c>
      <c r="LH78" s="17"/>
      <c r="LI78" s="25"/>
    </row>
    <row r="79" spans="1:321" ht="15" customHeight="1" x14ac:dyDescent="0.2">
      <c r="A79" s="1" t="str">
        <f>crop!A79</f>
        <v>Housing of cows is free-stall (deep bedding)</v>
      </c>
      <c r="B79" s="1" t="str">
        <f>crop!B79</f>
        <v>A.4.4</v>
      </c>
      <c r="C79" s="18"/>
      <c r="D79" s="24">
        <v>11.57</v>
      </c>
      <c r="E79" s="24">
        <v>11.57</v>
      </c>
      <c r="F79" s="24">
        <v>11.57</v>
      </c>
      <c r="G79" s="24">
        <v>11.57</v>
      </c>
      <c r="H79" s="24">
        <v>11.57</v>
      </c>
      <c r="I79" s="24">
        <v>-11.57</v>
      </c>
      <c r="J79" s="24"/>
      <c r="K79" s="24">
        <v>11.57</v>
      </c>
      <c r="L79" s="24"/>
      <c r="M79" s="24">
        <v>11.57</v>
      </c>
      <c r="N79" s="24">
        <v>11.57</v>
      </c>
      <c r="O79" s="24">
        <v>11.57</v>
      </c>
      <c r="P79" s="24">
        <v>11.57</v>
      </c>
      <c r="Q79" s="24">
        <v>11.57</v>
      </c>
      <c r="R79" s="24">
        <v>11.57</v>
      </c>
      <c r="S79" s="24">
        <v>11.57</v>
      </c>
      <c r="T79" s="24">
        <v>-11.57</v>
      </c>
      <c r="U79" s="24"/>
      <c r="V79" s="24">
        <v>11.57</v>
      </c>
      <c r="W79" s="24"/>
      <c r="X79" s="24">
        <v>11.57</v>
      </c>
      <c r="Y79" s="24">
        <v>11.57</v>
      </c>
      <c r="Z79" s="24">
        <v>11.57</v>
      </c>
      <c r="AA79" s="16">
        <v>2.5</v>
      </c>
      <c r="AB79" s="16">
        <v>6.6000000000000003E-2</v>
      </c>
      <c r="AC79" s="24"/>
      <c r="AD79" s="24">
        <f>1.33/2</f>
        <v>0.66500000000000004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>
        <f>1.33/2</f>
        <v>0.66500000000000004</v>
      </c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>
        <f>1.33/2</f>
        <v>0.66500000000000004</v>
      </c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>
        <f>1.33/2</f>
        <v>0.66500000000000004</v>
      </c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>
        <f>1.33/2</f>
        <v>0.66500000000000004</v>
      </c>
      <c r="CH79" s="24"/>
      <c r="CI79" s="24"/>
      <c r="CJ79" s="24"/>
      <c r="CK79" s="24"/>
      <c r="CL79" s="24">
        <f>-1.33/2</f>
        <v>-0.66500000000000004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>
        <f>1.33/2</f>
        <v>0.66500000000000004</v>
      </c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>
        <f>1.33/2</f>
        <v>0.66500000000000004</v>
      </c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>
        <f>1.33/2</f>
        <v>0.66500000000000004</v>
      </c>
      <c r="FA79" s="24"/>
      <c r="FB79" s="24"/>
      <c r="FC79" s="24"/>
      <c r="FD79" s="24"/>
      <c r="FE79" s="24"/>
      <c r="FF79" s="24">
        <f>1.33/2</f>
        <v>0.66500000000000004</v>
      </c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>
        <f>1.33/2</f>
        <v>0.66500000000000004</v>
      </c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>
        <f>1.33/2</f>
        <v>0.66500000000000004</v>
      </c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>
        <f>1.33/2</f>
        <v>0.66500000000000004</v>
      </c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>
        <f>1.33/2</f>
        <v>0.66500000000000004</v>
      </c>
      <c r="HJ79" s="24"/>
      <c r="HK79" s="24"/>
      <c r="HL79" s="24"/>
      <c r="HM79" s="24"/>
      <c r="HN79" s="24">
        <f>-1.33/2</f>
        <v>-0.66500000000000004</v>
      </c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>
        <f>1.33/2</f>
        <v>0.66500000000000004</v>
      </c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>
        <f>1.33/2</f>
        <v>0.66500000000000004</v>
      </c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>
        <f>1.33/2</f>
        <v>0.66500000000000004</v>
      </c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>
        <f>1.33/2</f>
        <v>0.66500000000000004</v>
      </c>
      <c r="KO79" s="24"/>
      <c r="KP79" s="24"/>
      <c r="KQ79" s="24"/>
      <c r="KR79" s="24"/>
      <c r="KS79" s="17"/>
      <c r="KT79" s="17"/>
      <c r="KU79" s="17"/>
      <c r="KV79" s="17"/>
      <c r="KW79" s="17"/>
      <c r="KX79" s="16"/>
      <c r="KY79" s="16"/>
      <c r="KZ79" s="16"/>
      <c r="LA79" s="16"/>
      <c r="LB79" s="16"/>
      <c r="LC79" s="16"/>
      <c r="LD79" s="16"/>
      <c r="LE79" s="16"/>
      <c r="LF79" s="16"/>
      <c r="LG79" s="27">
        <v>156600</v>
      </c>
      <c r="LH79" s="17"/>
      <c r="LI79" s="25"/>
    </row>
    <row r="80" spans="1:321" ht="15" customHeight="1" x14ac:dyDescent="0.2">
      <c r="A80" s="6" t="str">
        <f>crop!A80</f>
        <v>Housing of cows is free-stall slatted floor</v>
      </c>
      <c r="B80" s="6" t="str">
        <f>crop!B80</f>
        <v>A.4.5</v>
      </c>
      <c r="C80" s="18"/>
      <c r="D80" s="24">
        <v>5</v>
      </c>
      <c r="E80" s="24">
        <v>5</v>
      </c>
      <c r="F80" s="24">
        <v>5</v>
      </c>
      <c r="G80" s="24">
        <v>5</v>
      </c>
      <c r="H80" s="24">
        <v>5</v>
      </c>
      <c r="I80" s="24">
        <v>-5</v>
      </c>
      <c r="J80" s="24"/>
      <c r="K80" s="24">
        <v>5</v>
      </c>
      <c r="L80" s="24"/>
      <c r="M80" s="24">
        <v>5</v>
      </c>
      <c r="N80" s="24">
        <v>5</v>
      </c>
      <c r="O80" s="24">
        <v>5</v>
      </c>
      <c r="P80" s="24">
        <v>5</v>
      </c>
      <c r="Q80" s="24">
        <v>5</v>
      </c>
      <c r="R80" s="24">
        <v>5</v>
      </c>
      <c r="S80" s="24">
        <v>5</v>
      </c>
      <c r="T80" s="24">
        <v>-5</v>
      </c>
      <c r="U80" s="24"/>
      <c r="V80" s="24">
        <v>5</v>
      </c>
      <c r="W80" s="24"/>
      <c r="X80" s="24">
        <v>5</v>
      </c>
      <c r="Y80" s="24">
        <v>5</v>
      </c>
      <c r="Z80" s="24">
        <v>5</v>
      </c>
      <c r="AA80" s="16">
        <v>0.60000000000000009</v>
      </c>
      <c r="AB80" s="16">
        <v>6.6000000000000003E-2</v>
      </c>
      <c r="AC80" s="24"/>
      <c r="AD80" s="24">
        <f>1/2</f>
        <v>0.5</v>
      </c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>
        <f>1/2</f>
        <v>0.5</v>
      </c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>
        <f>1/2</f>
        <v>0.5</v>
      </c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>
        <f>1/2</f>
        <v>0.5</v>
      </c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>
        <f>1/2</f>
        <v>0.5</v>
      </c>
      <c r="CH80" s="24"/>
      <c r="CI80" s="24"/>
      <c r="CJ80" s="24"/>
      <c r="CK80" s="24"/>
      <c r="CL80" s="24">
        <f>-1/2</f>
        <v>-0.5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>
        <f t="shared" ref="DK80:DK81" si="4">1/2</f>
        <v>0.5</v>
      </c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>
        <f t="shared" ref="EJ80:EJ81" si="5">1/2</f>
        <v>0.5</v>
      </c>
      <c r="EK80" s="24"/>
      <c r="EL80" s="24"/>
      <c r="EM80" s="24"/>
      <c r="EN80" s="24"/>
      <c r="EO80" s="24"/>
      <c r="EP80" s="24"/>
      <c r="EQ80" s="24"/>
      <c r="ER80" s="24"/>
      <c r="ES80" s="24"/>
      <c r="ET80" s="24">
        <f t="shared" ref="ET80:ET81" si="6">1/2</f>
        <v>0.5</v>
      </c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>
        <f>1/2</f>
        <v>0.5</v>
      </c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>
        <f>1/2</f>
        <v>0.5</v>
      </c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>
        <f>1/2</f>
        <v>0.5</v>
      </c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>
        <f>1/2</f>
        <v>0.5</v>
      </c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>
        <f>1/2</f>
        <v>0.5</v>
      </c>
      <c r="HJ80" s="24"/>
      <c r="HK80" s="24"/>
      <c r="HL80" s="24"/>
      <c r="HM80" s="24"/>
      <c r="HN80" s="24">
        <f>-1/2</f>
        <v>-0.5</v>
      </c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>
        <f t="shared" ref="IM80:IM81" si="7">1/2</f>
        <v>0.5</v>
      </c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>
        <f t="shared" ref="JL80:JL81" si="8">1/2</f>
        <v>0.5</v>
      </c>
      <c r="JM80" s="24"/>
      <c r="JN80" s="24"/>
      <c r="JO80" s="24"/>
      <c r="JP80" s="24"/>
      <c r="JQ80" s="24"/>
      <c r="JR80" s="24"/>
      <c r="JS80" s="24"/>
      <c r="JT80" s="24"/>
      <c r="JU80" s="24"/>
      <c r="JV80" s="24">
        <f t="shared" ref="JV80:JV81" si="9">1/2</f>
        <v>0.5</v>
      </c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>
        <f t="shared" ref="KH80:KH81" si="10">1/2</f>
        <v>0.5</v>
      </c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17"/>
      <c r="KT80" s="17"/>
      <c r="KU80" s="17"/>
      <c r="KV80" s="17"/>
      <c r="KW80" s="17"/>
      <c r="KX80" s="16"/>
      <c r="KY80" s="16"/>
      <c r="KZ80" s="16"/>
      <c r="LA80" s="16">
        <v>0.9</v>
      </c>
      <c r="LB80" s="16"/>
      <c r="LC80" s="16"/>
      <c r="LD80" s="16"/>
      <c r="LE80" s="16"/>
      <c r="LF80" s="16"/>
      <c r="LG80" s="27">
        <v>153000</v>
      </c>
      <c r="LH80" s="17"/>
      <c r="LI80" s="25"/>
    </row>
    <row r="81" spans="1:321" ht="15" customHeight="1" x14ac:dyDescent="0.2">
      <c r="A81" s="1" t="str">
        <f>crop!A81</f>
        <v>Housing of heifer, bulls and steers is slatted floor</v>
      </c>
      <c r="B81" s="1" t="str">
        <f>crop!B81</f>
        <v>A.5.1</v>
      </c>
      <c r="C81" s="18"/>
      <c r="D81" s="24">
        <v>5</v>
      </c>
      <c r="E81" s="24">
        <v>5</v>
      </c>
      <c r="F81" s="24">
        <v>5</v>
      </c>
      <c r="G81" s="24">
        <v>5</v>
      </c>
      <c r="H81" s="24">
        <v>5</v>
      </c>
      <c r="I81" s="24">
        <v>-5</v>
      </c>
      <c r="J81" s="24"/>
      <c r="K81" s="24">
        <v>5</v>
      </c>
      <c r="L81" s="24"/>
      <c r="M81" s="24">
        <v>5</v>
      </c>
      <c r="N81" s="24">
        <v>5</v>
      </c>
      <c r="O81" s="24">
        <v>5</v>
      </c>
      <c r="P81" s="24">
        <v>5</v>
      </c>
      <c r="Q81" s="24">
        <v>5</v>
      </c>
      <c r="R81" s="24">
        <v>5</v>
      </c>
      <c r="S81" s="24">
        <v>5</v>
      </c>
      <c r="T81" s="24">
        <v>-5</v>
      </c>
      <c r="U81" s="24"/>
      <c r="V81" s="24">
        <v>5</v>
      </c>
      <c r="W81" s="24"/>
      <c r="X81" s="24">
        <v>5</v>
      </c>
      <c r="Y81" s="24">
        <v>5</v>
      </c>
      <c r="Z81" s="24">
        <v>5</v>
      </c>
      <c r="AA81" s="16"/>
      <c r="AB81" s="16"/>
      <c r="AC81" s="24"/>
      <c r="AD81" s="24">
        <f>1/2</f>
        <v>0.5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>
        <f>1/2</f>
        <v>0.5</v>
      </c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>
        <f>1/2</f>
        <v>0.5</v>
      </c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>
        <f>1/2</f>
        <v>0.5</v>
      </c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>
        <f>1/2</f>
        <v>0.5</v>
      </c>
      <c r="CH81" s="24"/>
      <c r="CI81" s="24"/>
      <c r="CJ81" s="24"/>
      <c r="CK81" s="24"/>
      <c r="CL81" s="24">
        <f>-1/2</f>
        <v>-0.5</v>
      </c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>
        <f t="shared" si="4"/>
        <v>0.5</v>
      </c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>
        <f t="shared" si="5"/>
        <v>0.5</v>
      </c>
      <c r="EK81" s="24"/>
      <c r="EL81" s="24"/>
      <c r="EM81" s="24"/>
      <c r="EN81" s="24"/>
      <c r="EO81" s="24"/>
      <c r="EP81" s="24"/>
      <c r="EQ81" s="24"/>
      <c r="ER81" s="24"/>
      <c r="ES81" s="24"/>
      <c r="ET81" s="24">
        <f t="shared" si="6"/>
        <v>0.5</v>
      </c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>
        <f>1/2</f>
        <v>0.5</v>
      </c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>
        <f>1/2</f>
        <v>0.5</v>
      </c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>
        <f>1/2</f>
        <v>0.5</v>
      </c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>
        <f>1/2</f>
        <v>0.5</v>
      </c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>
        <f>1/2</f>
        <v>0.5</v>
      </c>
      <c r="HJ81" s="24"/>
      <c r="HK81" s="24"/>
      <c r="HL81" s="24"/>
      <c r="HM81" s="24"/>
      <c r="HN81" s="24">
        <f>-1/2</f>
        <v>-0.5</v>
      </c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>
        <f t="shared" si="7"/>
        <v>0.5</v>
      </c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>
        <f t="shared" si="8"/>
        <v>0.5</v>
      </c>
      <c r="JM81" s="24"/>
      <c r="JN81" s="24"/>
      <c r="JO81" s="24"/>
      <c r="JP81" s="24"/>
      <c r="JQ81" s="24"/>
      <c r="JR81" s="24"/>
      <c r="JS81" s="24"/>
      <c r="JT81" s="24"/>
      <c r="JU81" s="24"/>
      <c r="JV81" s="24">
        <f t="shared" si="9"/>
        <v>0.5</v>
      </c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>
        <f t="shared" si="10"/>
        <v>0.5</v>
      </c>
      <c r="KI81" s="24"/>
      <c r="KJ81" s="24"/>
      <c r="KK81" s="24"/>
      <c r="KL81" s="24"/>
      <c r="KM81" s="24"/>
      <c r="KN81" s="24"/>
      <c r="KO81" s="24"/>
      <c r="KP81" s="24"/>
      <c r="KQ81" s="24"/>
      <c r="KR81" s="24"/>
      <c r="KS81" s="17"/>
      <c r="KT81" s="17"/>
      <c r="KU81" s="17"/>
      <c r="KV81" s="17"/>
      <c r="KW81" s="17"/>
      <c r="KX81" s="16"/>
      <c r="KY81" s="16"/>
      <c r="KZ81" s="16"/>
      <c r="LA81" s="16"/>
      <c r="LB81" s="16">
        <v>0.4</v>
      </c>
      <c r="LC81" s="16"/>
      <c r="LD81" s="16"/>
      <c r="LE81" s="16"/>
      <c r="LF81" s="16"/>
      <c r="LG81" s="16"/>
      <c r="LH81" s="17"/>
      <c r="LI81" s="25"/>
    </row>
    <row r="82" spans="1:321" ht="15" customHeight="1" x14ac:dyDescent="0.2">
      <c r="A82" s="1" t="str">
        <f>crop!A82</f>
        <v>Housing of heifer, bulls and steers is shallow bedding</v>
      </c>
      <c r="B82" s="1" t="str">
        <f>crop!B82</f>
        <v>A.5.2</v>
      </c>
      <c r="C82" s="18"/>
      <c r="D82" s="24">
        <v>11.57</v>
      </c>
      <c r="E82" s="24">
        <v>11.57</v>
      </c>
      <c r="F82" s="24">
        <v>11.57</v>
      </c>
      <c r="G82" s="24">
        <v>11.57</v>
      </c>
      <c r="H82" s="24">
        <v>11.57</v>
      </c>
      <c r="I82" s="24">
        <v>-11.57</v>
      </c>
      <c r="J82" s="24"/>
      <c r="K82" s="24">
        <v>11.57</v>
      </c>
      <c r="L82" s="24"/>
      <c r="M82" s="24">
        <v>11.57</v>
      </c>
      <c r="N82" s="24">
        <v>11.57</v>
      </c>
      <c r="O82" s="24">
        <v>11.57</v>
      </c>
      <c r="P82" s="24">
        <v>11.57</v>
      </c>
      <c r="Q82" s="24">
        <v>11.57</v>
      </c>
      <c r="R82" s="24">
        <v>11.57</v>
      </c>
      <c r="S82" s="24">
        <v>11.57</v>
      </c>
      <c r="T82" s="24">
        <v>-11.57</v>
      </c>
      <c r="U82" s="24"/>
      <c r="V82" s="24">
        <v>11.57</v>
      </c>
      <c r="W82" s="24"/>
      <c r="X82" s="24">
        <v>11.57</v>
      </c>
      <c r="Y82" s="24">
        <v>11.57</v>
      </c>
      <c r="Z82" s="24">
        <v>11.57</v>
      </c>
      <c r="AA82" s="16"/>
      <c r="AB82" s="16"/>
      <c r="AC82" s="24"/>
      <c r="AD82" s="24">
        <f>1.33/2</f>
        <v>0.66500000000000004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>
        <f>1.33/2</f>
        <v>0.66500000000000004</v>
      </c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>
        <f>1.33/2</f>
        <v>0.66500000000000004</v>
      </c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>
        <f>1.33/2</f>
        <v>0.66500000000000004</v>
      </c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>
        <f>1.33/2</f>
        <v>0.66500000000000004</v>
      </c>
      <c r="CH82" s="24"/>
      <c r="CI82" s="24"/>
      <c r="CJ82" s="24"/>
      <c r="CK82" s="24"/>
      <c r="CL82" s="24">
        <f>-1.33/2</f>
        <v>-0.66500000000000004</v>
      </c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>
        <f>1.33/2</f>
        <v>0.66500000000000004</v>
      </c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>
        <f>1.33/2</f>
        <v>0.66500000000000004</v>
      </c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>
        <f>1.33/2</f>
        <v>0.66500000000000004</v>
      </c>
      <c r="FA82" s="24"/>
      <c r="FB82" s="24"/>
      <c r="FC82" s="24"/>
      <c r="FD82" s="24"/>
      <c r="FE82" s="24"/>
      <c r="FF82" s="24">
        <f>1.33/2</f>
        <v>0.66500000000000004</v>
      </c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>
        <f>1.33/2</f>
        <v>0.66500000000000004</v>
      </c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>
        <f>1.33/2</f>
        <v>0.66500000000000004</v>
      </c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>
        <f>1.33/2</f>
        <v>0.66500000000000004</v>
      </c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>
        <f>1.33/2</f>
        <v>0.66500000000000004</v>
      </c>
      <c r="HJ82" s="24"/>
      <c r="HK82" s="24"/>
      <c r="HL82" s="24"/>
      <c r="HM82" s="24"/>
      <c r="HN82" s="24">
        <f>-1.33/2</f>
        <v>-0.66500000000000004</v>
      </c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>
        <f>1.33/2</f>
        <v>0.66500000000000004</v>
      </c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>
        <f>1.33/2</f>
        <v>0.66500000000000004</v>
      </c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>
        <f>1.33/2</f>
        <v>0.66500000000000004</v>
      </c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>
        <f>1.33/2</f>
        <v>0.66500000000000004</v>
      </c>
      <c r="KO82" s="24"/>
      <c r="KP82" s="24"/>
      <c r="KQ82" s="24"/>
      <c r="KR82" s="24"/>
      <c r="KS82" s="17"/>
      <c r="KT82" s="17"/>
      <c r="KU82" s="17"/>
      <c r="KV82" s="17"/>
      <c r="KW82" s="17"/>
      <c r="KX82" s="16"/>
      <c r="KY82" s="16"/>
      <c r="KZ82" s="16"/>
      <c r="LA82" s="16"/>
      <c r="LB82" s="16">
        <v>1.2</v>
      </c>
      <c r="LC82" s="16"/>
      <c r="LD82" s="16"/>
      <c r="LE82" s="16"/>
      <c r="LF82" s="16"/>
      <c r="LG82" s="16"/>
      <c r="LH82" s="17"/>
      <c r="LI82" s="25"/>
    </row>
    <row r="83" spans="1:321" ht="15" customHeight="1" x14ac:dyDescent="0.2">
      <c r="A83" s="6" t="str">
        <f>crop!A83</f>
        <v>Housing of heifer, bulls and steers is deep bedding</v>
      </c>
      <c r="B83" s="6" t="str">
        <f>crop!B83</f>
        <v>A.5.3</v>
      </c>
      <c r="C83" s="18"/>
      <c r="D83" s="24">
        <v>11.57</v>
      </c>
      <c r="E83" s="24">
        <v>11.57</v>
      </c>
      <c r="F83" s="24">
        <v>11.57</v>
      </c>
      <c r="G83" s="24">
        <v>11.57</v>
      </c>
      <c r="H83" s="24">
        <v>11.57</v>
      </c>
      <c r="I83" s="24">
        <v>-11.57</v>
      </c>
      <c r="J83" s="24"/>
      <c r="K83" s="24">
        <v>11.57</v>
      </c>
      <c r="L83" s="24"/>
      <c r="M83" s="24">
        <v>11.57</v>
      </c>
      <c r="N83" s="24">
        <v>11.57</v>
      </c>
      <c r="O83" s="24">
        <v>11.57</v>
      </c>
      <c r="P83" s="24">
        <v>11.57</v>
      </c>
      <c r="Q83" s="24">
        <v>11.57</v>
      </c>
      <c r="R83" s="24">
        <v>11.57</v>
      </c>
      <c r="S83" s="24">
        <v>11.57</v>
      </c>
      <c r="T83" s="24">
        <v>-11.57</v>
      </c>
      <c r="U83" s="24"/>
      <c r="V83" s="24">
        <v>11.57</v>
      </c>
      <c r="W83" s="24"/>
      <c r="X83" s="24">
        <v>11.57</v>
      </c>
      <c r="Y83" s="24">
        <v>11.57</v>
      </c>
      <c r="Z83" s="24">
        <v>11.57</v>
      </c>
      <c r="AA83" s="16"/>
      <c r="AB83" s="16"/>
      <c r="AC83" s="24"/>
      <c r="AD83" s="24">
        <f>1.33/2</f>
        <v>0.66500000000000004</v>
      </c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>
        <f>1.33/2</f>
        <v>0.66500000000000004</v>
      </c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>
        <f>1.33/2</f>
        <v>0.66500000000000004</v>
      </c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>
        <f>1.33/2</f>
        <v>0.66500000000000004</v>
      </c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>
        <f>1.33/2</f>
        <v>0.66500000000000004</v>
      </c>
      <c r="CH83" s="24"/>
      <c r="CI83" s="24"/>
      <c r="CJ83" s="24"/>
      <c r="CK83" s="24"/>
      <c r="CL83" s="24">
        <f>-1.33/2</f>
        <v>-0.66500000000000004</v>
      </c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>
        <f>1.33/2</f>
        <v>0.66500000000000004</v>
      </c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>
        <f>1.33/2</f>
        <v>0.66500000000000004</v>
      </c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>
        <f>1.33/2</f>
        <v>0.66500000000000004</v>
      </c>
      <c r="FA83" s="24"/>
      <c r="FB83" s="24"/>
      <c r="FC83" s="24"/>
      <c r="FD83" s="24"/>
      <c r="FE83" s="24"/>
      <c r="FF83" s="24">
        <f>1.33/2</f>
        <v>0.66500000000000004</v>
      </c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>
        <f>1.33/2</f>
        <v>0.66500000000000004</v>
      </c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>
        <f>1.33/2</f>
        <v>0.66500000000000004</v>
      </c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>
        <f>1.33/2</f>
        <v>0.66500000000000004</v>
      </c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>
        <f>1.33/2</f>
        <v>0.66500000000000004</v>
      </c>
      <c r="HJ83" s="24"/>
      <c r="HK83" s="24"/>
      <c r="HL83" s="24"/>
      <c r="HM83" s="24"/>
      <c r="HN83" s="24">
        <f>-1.33/2</f>
        <v>-0.66500000000000004</v>
      </c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>
        <f>1.33/2</f>
        <v>0.66500000000000004</v>
      </c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>
        <f>1.33/2</f>
        <v>0.66500000000000004</v>
      </c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>
        <f>1.33/2</f>
        <v>0.66500000000000004</v>
      </c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>
        <f>1.33/2</f>
        <v>0.66500000000000004</v>
      </c>
      <c r="KO83" s="24"/>
      <c r="KP83" s="24"/>
      <c r="KQ83" s="24"/>
      <c r="KR83" s="24"/>
      <c r="KS83" s="17"/>
      <c r="KT83" s="17"/>
      <c r="KU83" s="17"/>
      <c r="KV83" s="17"/>
      <c r="KW83" s="17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7"/>
      <c r="LI83" s="25"/>
    </row>
    <row r="84" spans="1:321" ht="15" customHeight="1" x14ac:dyDescent="0.2">
      <c r="A84" s="1" t="str">
        <f>crop!A84</f>
        <v>Cow feeding system: all year indoor, maize silage &amp; soybean meal supplement</v>
      </c>
      <c r="B84" s="1" t="str">
        <f>crop!B84</f>
        <v>A.6.1</v>
      </c>
      <c r="C84" s="18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16">
        <v>2.9</v>
      </c>
      <c r="AB84" s="16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4">
        <v>1.17</v>
      </c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  <c r="IZ84" s="23"/>
      <c r="JA84" s="23"/>
      <c r="JB84" s="23"/>
      <c r="JC84" s="23"/>
      <c r="JD84" s="23"/>
      <c r="JE84" s="23"/>
      <c r="JF84" s="23"/>
      <c r="JG84" s="23"/>
      <c r="JH84" s="23"/>
      <c r="JI84" s="23"/>
      <c r="JJ84" s="23"/>
      <c r="JK84" s="23"/>
      <c r="JL84" s="23"/>
      <c r="JM84" s="23"/>
      <c r="JN84" s="23"/>
      <c r="JO84" s="23"/>
      <c r="JP84" s="23"/>
      <c r="JQ84" s="23"/>
      <c r="JR84" s="23"/>
      <c r="JS84" s="23"/>
      <c r="JT84" s="23"/>
      <c r="JU84" s="23"/>
      <c r="JV84" s="23"/>
      <c r="JW84" s="23"/>
      <c r="JX84" s="23"/>
      <c r="JY84" s="23"/>
      <c r="JZ84" s="23"/>
      <c r="KA84" s="23"/>
      <c r="KB84" s="23"/>
      <c r="KC84" s="24">
        <v>1.17</v>
      </c>
      <c r="KD84" s="23"/>
      <c r="KE84" s="23"/>
      <c r="KF84" s="23"/>
      <c r="KG84" s="23"/>
      <c r="KH84" s="23"/>
      <c r="KI84" s="23"/>
      <c r="KJ84" s="23"/>
      <c r="KK84" s="23"/>
      <c r="KL84" s="23"/>
      <c r="KM84" s="23"/>
      <c r="KN84" s="23"/>
      <c r="KO84" s="24">
        <f>0.5+0.67</f>
        <v>1.17</v>
      </c>
      <c r="KP84" s="23"/>
      <c r="KQ84" s="23"/>
      <c r="KR84" s="23"/>
      <c r="KS84" s="17"/>
      <c r="KT84" s="17"/>
      <c r="KU84" s="17"/>
      <c r="KV84" s="17"/>
      <c r="KW84" s="17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7"/>
      <c r="LI84" s="25"/>
    </row>
    <row r="85" spans="1:321" ht="15" customHeight="1" x14ac:dyDescent="0.2">
      <c r="A85" s="1" t="str">
        <f>crop!A85</f>
        <v>Cow feeding system: all year indoor, sorghum silage &amp; soybean meal supplement</v>
      </c>
      <c r="B85" s="1" t="str">
        <f>crop!B85</f>
        <v>A.6.2</v>
      </c>
      <c r="C85" s="18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16">
        <v>2.9</v>
      </c>
      <c r="AB85" s="16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4">
        <v>1.17</v>
      </c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  <c r="JL85" s="23"/>
      <c r="JM85" s="23"/>
      <c r="JN85" s="23"/>
      <c r="JO85" s="23"/>
      <c r="JP85" s="23"/>
      <c r="JQ85" s="23"/>
      <c r="JR85" s="23"/>
      <c r="JS85" s="23"/>
      <c r="JT85" s="23"/>
      <c r="JU85" s="23"/>
      <c r="JV85" s="23"/>
      <c r="JW85" s="23"/>
      <c r="JX85" s="23"/>
      <c r="JY85" s="23"/>
      <c r="JZ85" s="23"/>
      <c r="KA85" s="23"/>
      <c r="KB85" s="23"/>
      <c r="KC85" s="24">
        <v>1.17</v>
      </c>
      <c r="KD85" s="23"/>
      <c r="KE85" s="23"/>
      <c r="KF85" s="23"/>
      <c r="KG85" s="23"/>
      <c r="KH85" s="23"/>
      <c r="KI85" s="23"/>
      <c r="KJ85" s="23"/>
      <c r="KK85" s="23"/>
      <c r="KL85" s="23"/>
      <c r="KM85" s="23"/>
      <c r="KN85" s="23"/>
      <c r="KO85" s="24">
        <f>0.5+0.67</f>
        <v>1.17</v>
      </c>
      <c r="KP85" s="23"/>
      <c r="KQ85" s="23"/>
      <c r="KR85" s="23"/>
      <c r="KS85" s="17"/>
      <c r="KT85" s="17"/>
      <c r="KU85" s="17"/>
      <c r="KV85" s="17"/>
      <c r="KW85" s="17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7"/>
      <c r="LI85" s="25"/>
    </row>
    <row r="86" spans="1:321" ht="15" customHeight="1" x14ac:dyDescent="0.2">
      <c r="A86" s="1" t="str">
        <f>crop!A86</f>
        <v>Cow feeding system: all year indoor, sorghum &amp; alfalfa silage</v>
      </c>
      <c r="B86" s="1" t="str">
        <f>crop!B86</f>
        <v>A.6.3</v>
      </c>
      <c r="C86" s="18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16">
        <v>2.9</v>
      </c>
      <c r="AB86" s="16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4">
        <v>1.17</v>
      </c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  <c r="IZ86" s="23"/>
      <c r="JA86" s="23"/>
      <c r="JB86" s="23"/>
      <c r="JC86" s="23"/>
      <c r="JD86" s="23"/>
      <c r="JE86" s="23"/>
      <c r="JF86" s="23"/>
      <c r="JG86" s="23"/>
      <c r="JH86" s="23"/>
      <c r="JI86" s="23"/>
      <c r="JJ86" s="23"/>
      <c r="JK86" s="23"/>
      <c r="JL86" s="23"/>
      <c r="JM86" s="23"/>
      <c r="JN86" s="23"/>
      <c r="JO86" s="23"/>
      <c r="JP86" s="23"/>
      <c r="JQ86" s="23"/>
      <c r="JR86" s="23"/>
      <c r="JS86" s="23"/>
      <c r="JT86" s="23"/>
      <c r="JU86" s="23"/>
      <c r="JV86" s="23"/>
      <c r="JW86" s="23"/>
      <c r="JX86" s="23"/>
      <c r="JY86" s="23"/>
      <c r="JZ86" s="23"/>
      <c r="KA86" s="23"/>
      <c r="KB86" s="23"/>
      <c r="KC86" s="24">
        <v>1.17</v>
      </c>
      <c r="KD86" s="23"/>
      <c r="KE86" s="23"/>
      <c r="KF86" s="23"/>
      <c r="KG86" s="23"/>
      <c r="KH86" s="23"/>
      <c r="KI86" s="23"/>
      <c r="KJ86" s="23"/>
      <c r="KK86" s="23"/>
      <c r="KL86" s="23"/>
      <c r="KM86" s="23"/>
      <c r="KN86" s="23"/>
      <c r="KO86" s="24">
        <f>0.5+0.67</f>
        <v>1.17</v>
      </c>
      <c r="KP86" s="23"/>
      <c r="KQ86" s="23"/>
      <c r="KR86" s="23"/>
      <c r="KS86" s="17"/>
      <c r="KT86" s="17"/>
      <c r="KU86" s="17"/>
      <c r="KV86" s="17"/>
      <c r="KW86" s="17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7"/>
      <c r="LI86" s="25"/>
    </row>
    <row r="87" spans="1:321" ht="15" customHeight="1" x14ac:dyDescent="0.2">
      <c r="A87" s="1" t="str">
        <f>crop!A87</f>
        <v>Cow feeding system: all year indoor, maize silage, alfalfa silage &amp; soybean meal supplement</v>
      </c>
      <c r="B87" s="1" t="str">
        <f>crop!B87</f>
        <v>A.6.4</v>
      </c>
      <c r="C87" s="18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16">
        <v>2.9</v>
      </c>
      <c r="AB87" s="16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4">
        <v>1.17</v>
      </c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  <c r="IZ87" s="23"/>
      <c r="JA87" s="23"/>
      <c r="JB87" s="23"/>
      <c r="JC87" s="23"/>
      <c r="JD87" s="23"/>
      <c r="JE87" s="23"/>
      <c r="JF87" s="23"/>
      <c r="JG87" s="23"/>
      <c r="JH87" s="23"/>
      <c r="JI87" s="23"/>
      <c r="JJ87" s="23"/>
      <c r="JK87" s="23"/>
      <c r="JL87" s="23"/>
      <c r="JM87" s="23"/>
      <c r="JN87" s="23"/>
      <c r="JO87" s="23"/>
      <c r="JP87" s="23"/>
      <c r="JQ87" s="23"/>
      <c r="JR87" s="23"/>
      <c r="JS87" s="23"/>
      <c r="JT87" s="23"/>
      <c r="JU87" s="23"/>
      <c r="JV87" s="23"/>
      <c r="JW87" s="23"/>
      <c r="JX87" s="23"/>
      <c r="JY87" s="23"/>
      <c r="JZ87" s="23"/>
      <c r="KA87" s="23"/>
      <c r="KB87" s="23"/>
      <c r="KC87" s="24">
        <v>1.17</v>
      </c>
      <c r="KD87" s="23"/>
      <c r="KE87" s="23"/>
      <c r="KF87" s="23"/>
      <c r="KG87" s="23"/>
      <c r="KH87" s="23"/>
      <c r="KI87" s="23"/>
      <c r="KJ87" s="23"/>
      <c r="KK87" s="23"/>
      <c r="KL87" s="23"/>
      <c r="KM87" s="23"/>
      <c r="KN87" s="23"/>
      <c r="KO87" s="24">
        <f>0.5+0.67</f>
        <v>1.17</v>
      </c>
      <c r="KP87" s="23"/>
      <c r="KQ87" s="23"/>
      <c r="KR87" s="23"/>
      <c r="KS87" s="17"/>
      <c r="KT87" s="17"/>
      <c r="KU87" s="17"/>
      <c r="KV87" s="17"/>
      <c r="KW87" s="17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7"/>
      <c r="LI87" s="25"/>
    </row>
    <row r="88" spans="1:321" ht="15" customHeight="1" x14ac:dyDescent="0.2">
      <c r="A88" s="1" t="str">
        <f>crop!A88</f>
        <v>Cow feeding system: 4 months grazing &amp; soybean meal supplement</v>
      </c>
      <c r="B88" s="1" t="str">
        <f>crop!B88</f>
        <v>A.6.5</v>
      </c>
      <c r="C88" s="18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16">
        <f>2.9*8/12</f>
        <v>1.9333333333333333</v>
      </c>
      <c r="AB88" s="16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4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  <c r="JL88" s="23"/>
      <c r="JM88" s="23"/>
      <c r="JN88" s="23"/>
      <c r="JO88" s="23"/>
      <c r="JP88" s="23"/>
      <c r="JQ88" s="23"/>
      <c r="JR88" s="23"/>
      <c r="JS88" s="23"/>
      <c r="JT88" s="23"/>
      <c r="JU88" s="23"/>
      <c r="JV88" s="23"/>
      <c r="JW88" s="23"/>
      <c r="JX88" s="23"/>
      <c r="JY88" s="23"/>
      <c r="JZ88" s="23"/>
      <c r="KA88" s="23"/>
      <c r="KB88" s="23"/>
      <c r="KC88" s="24"/>
      <c r="KD88" s="23"/>
      <c r="KE88" s="23"/>
      <c r="KF88" s="23"/>
      <c r="KG88" s="23"/>
      <c r="KH88" s="23"/>
      <c r="KI88" s="23"/>
      <c r="KJ88" s="23"/>
      <c r="KK88" s="23"/>
      <c r="KL88" s="23"/>
      <c r="KM88" s="23"/>
      <c r="KN88" s="23"/>
      <c r="KO88" s="23"/>
      <c r="KP88" s="23"/>
      <c r="KQ88" s="23"/>
      <c r="KR88" s="23"/>
      <c r="KS88" s="17"/>
      <c r="KT88" s="17"/>
      <c r="KU88" s="17"/>
      <c r="KV88" s="17"/>
      <c r="KW88" s="17"/>
      <c r="KX88" s="16"/>
      <c r="KY88" s="16">
        <f>8/12</f>
        <v>0.66666666666666663</v>
      </c>
      <c r="KZ88" s="16"/>
      <c r="LA88" s="16">
        <f>8/12</f>
        <v>0.66666666666666663</v>
      </c>
      <c r="LB88" s="16"/>
      <c r="LC88" s="16"/>
      <c r="LD88" s="16"/>
      <c r="LE88" s="16">
        <v>1.2</v>
      </c>
      <c r="LF88" s="16"/>
      <c r="LG88" s="16"/>
      <c r="LH88" s="17"/>
      <c r="LI88" s="25">
        <v>-0.125</v>
      </c>
    </row>
    <row r="89" spans="1:321" ht="15" customHeight="1" x14ac:dyDescent="0.2">
      <c r="A89" s="1" t="str">
        <f>crop!A89</f>
        <v>Cow feeding system: 4 months grazing &amp; rapeseed meal supplement</v>
      </c>
      <c r="B89" s="1" t="str">
        <f>crop!B89</f>
        <v>A.6.6</v>
      </c>
      <c r="C89" s="18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16">
        <f>2.9*8/12</f>
        <v>1.9333333333333333</v>
      </c>
      <c r="AB89" s="16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  <c r="IZ89" s="23"/>
      <c r="JA89" s="23"/>
      <c r="JB89" s="23"/>
      <c r="JC89" s="23"/>
      <c r="JD89" s="23"/>
      <c r="JE89" s="23"/>
      <c r="JF89" s="23"/>
      <c r="JG89" s="23"/>
      <c r="JH89" s="23"/>
      <c r="JI89" s="23"/>
      <c r="JJ89" s="23"/>
      <c r="JK89" s="23"/>
      <c r="JL89" s="23"/>
      <c r="JM89" s="23"/>
      <c r="JN89" s="23"/>
      <c r="JO89" s="23"/>
      <c r="JP89" s="23"/>
      <c r="JQ89" s="23"/>
      <c r="JR89" s="23"/>
      <c r="JS89" s="23"/>
      <c r="JT89" s="23"/>
      <c r="JU89" s="23"/>
      <c r="JV89" s="23"/>
      <c r="JW89" s="23"/>
      <c r="JX89" s="23"/>
      <c r="JY89" s="23"/>
      <c r="JZ89" s="23"/>
      <c r="KA89" s="23"/>
      <c r="KB89" s="23"/>
      <c r="KC89" s="23"/>
      <c r="KD89" s="23"/>
      <c r="KE89" s="23"/>
      <c r="KF89" s="23"/>
      <c r="KG89" s="23"/>
      <c r="KH89" s="23"/>
      <c r="KI89" s="23"/>
      <c r="KJ89" s="23"/>
      <c r="KK89" s="23"/>
      <c r="KL89" s="23"/>
      <c r="KM89" s="23"/>
      <c r="KN89" s="23"/>
      <c r="KO89" s="23"/>
      <c r="KP89" s="23"/>
      <c r="KQ89" s="23"/>
      <c r="KR89" s="23"/>
      <c r="KS89" s="17"/>
      <c r="KT89" s="17"/>
      <c r="KU89" s="17"/>
      <c r="KV89" s="17"/>
      <c r="KW89" s="17"/>
      <c r="KX89" s="16"/>
      <c r="KY89" s="16">
        <f>8/12</f>
        <v>0.66666666666666663</v>
      </c>
      <c r="KZ89" s="16"/>
      <c r="LA89" s="16">
        <f>8/12</f>
        <v>0.66666666666666663</v>
      </c>
      <c r="LB89" s="16"/>
      <c r="LC89" s="16"/>
      <c r="LD89" s="16"/>
      <c r="LE89" s="16">
        <v>1.2</v>
      </c>
      <c r="LF89" s="16"/>
      <c r="LG89" s="16"/>
      <c r="LH89" s="17"/>
      <c r="LI89" s="25">
        <v>-0.125</v>
      </c>
    </row>
    <row r="90" spans="1:321" ht="15" customHeight="1" x14ac:dyDescent="0.2">
      <c r="A90" s="1" t="str">
        <f>crop!A90</f>
        <v>Cow feeding system: 5 months grazing &amp; rapeseed meal supplement</v>
      </c>
      <c r="B90" s="1" t="str">
        <f>crop!B90</f>
        <v>A.6.7</v>
      </c>
      <c r="C90" s="18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16">
        <f>2.9*7/12</f>
        <v>1.6916666666666667</v>
      </c>
      <c r="AB90" s="16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  <c r="IZ90" s="23"/>
      <c r="JA90" s="23"/>
      <c r="JB90" s="23"/>
      <c r="JC90" s="23"/>
      <c r="JD90" s="23"/>
      <c r="JE90" s="23"/>
      <c r="JF90" s="23"/>
      <c r="JG90" s="23"/>
      <c r="JH90" s="23"/>
      <c r="JI90" s="23"/>
      <c r="JJ90" s="23"/>
      <c r="JK90" s="23"/>
      <c r="JL90" s="23"/>
      <c r="JM90" s="23"/>
      <c r="JN90" s="23"/>
      <c r="JO90" s="23"/>
      <c r="JP90" s="23"/>
      <c r="JQ90" s="23"/>
      <c r="JR90" s="23"/>
      <c r="JS90" s="23"/>
      <c r="JT90" s="23"/>
      <c r="JU90" s="23"/>
      <c r="JV90" s="23"/>
      <c r="JW90" s="23"/>
      <c r="JX90" s="23"/>
      <c r="JY90" s="23"/>
      <c r="JZ90" s="23"/>
      <c r="KA90" s="23"/>
      <c r="KB90" s="23"/>
      <c r="KC90" s="23"/>
      <c r="KD90" s="23"/>
      <c r="KE90" s="23"/>
      <c r="KF90" s="23"/>
      <c r="KG90" s="23"/>
      <c r="KH90" s="23"/>
      <c r="KI90" s="23"/>
      <c r="KJ90" s="23"/>
      <c r="KK90" s="23"/>
      <c r="KL90" s="23"/>
      <c r="KM90" s="23"/>
      <c r="KN90" s="23"/>
      <c r="KO90" s="23"/>
      <c r="KP90" s="23"/>
      <c r="KQ90" s="23"/>
      <c r="KR90" s="23"/>
      <c r="KS90" s="17"/>
      <c r="KT90" s="17"/>
      <c r="KU90" s="17"/>
      <c r="KV90" s="17"/>
      <c r="KW90" s="17"/>
      <c r="KX90" s="16"/>
      <c r="KY90" s="16">
        <f>7/12</f>
        <v>0.58333333333333337</v>
      </c>
      <c r="KZ90" s="16"/>
      <c r="LA90" s="16">
        <f>7/12</f>
        <v>0.58333333333333337</v>
      </c>
      <c r="LB90" s="16"/>
      <c r="LC90" s="16"/>
      <c r="LD90" s="16"/>
      <c r="LE90" s="16">
        <v>1.2</v>
      </c>
      <c r="LF90" s="16"/>
      <c r="LG90" s="16"/>
      <c r="LH90" s="17"/>
      <c r="LI90" s="25">
        <v>-0.25</v>
      </c>
    </row>
    <row r="91" spans="1:321" ht="15" customHeight="1" x14ac:dyDescent="0.2">
      <c r="A91" s="1" t="str">
        <f>crop!A91</f>
        <v>Cow feeding system: 7 months grazing &amp; rapeseed meal supplement</v>
      </c>
      <c r="B91" s="1" t="str">
        <f>crop!B91</f>
        <v>A.6.8</v>
      </c>
      <c r="C91" s="18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16">
        <f>2.9*5.17/12</f>
        <v>1.2494166666666666</v>
      </c>
      <c r="AB91" s="16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  <c r="JL91" s="23"/>
      <c r="JM91" s="23"/>
      <c r="JN91" s="23"/>
      <c r="JO91" s="23"/>
      <c r="JP91" s="23"/>
      <c r="JQ91" s="23"/>
      <c r="JR91" s="23"/>
      <c r="JS91" s="23"/>
      <c r="JT91" s="23"/>
      <c r="JU91" s="23"/>
      <c r="JV91" s="23"/>
      <c r="JW91" s="23"/>
      <c r="JX91" s="23"/>
      <c r="JY91" s="23"/>
      <c r="JZ91" s="23"/>
      <c r="KA91" s="23"/>
      <c r="KB91" s="23"/>
      <c r="KC91" s="23"/>
      <c r="KD91" s="23"/>
      <c r="KE91" s="23"/>
      <c r="KF91" s="23"/>
      <c r="KG91" s="23"/>
      <c r="KH91" s="23"/>
      <c r="KI91" s="23"/>
      <c r="KJ91" s="23"/>
      <c r="KK91" s="23"/>
      <c r="KL91" s="23"/>
      <c r="KM91" s="23"/>
      <c r="KN91" s="23"/>
      <c r="KO91" s="23"/>
      <c r="KP91" s="23"/>
      <c r="KQ91" s="23"/>
      <c r="KR91" s="23"/>
      <c r="KS91" s="17"/>
      <c r="KT91" s="17"/>
      <c r="KU91" s="17"/>
      <c r="KV91" s="17"/>
      <c r="KW91" s="17"/>
      <c r="KX91" s="16"/>
      <c r="KY91" s="16">
        <f>5/12</f>
        <v>0.41666666666666669</v>
      </c>
      <c r="KZ91" s="16"/>
      <c r="LA91" s="16">
        <f>5/12</f>
        <v>0.41666666666666669</v>
      </c>
      <c r="LB91" s="16"/>
      <c r="LC91" s="16"/>
      <c r="LD91" s="16"/>
      <c r="LE91" s="16">
        <v>1.2</v>
      </c>
      <c r="LF91" s="16"/>
      <c r="LG91" s="16"/>
      <c r="LH91" s="17"/>
      <c r="LI91" s="25">
        <v>-0.25</v>
      </c>
    </row>
    <row r="92" spans="1:321" ht="15" customHeight="1" x14ac:dyDescent="0.2">
      <c r="A92" s="1" t="str">
        <f>crop!A92</f>
        <v>Cow feeding system: 8 months grazing &amp; faba bean supplement</v>
      </c>
      <c r="B92" s="1" t="str">
        <f>crop!B92</f>
        <v>A.6.9</v>
      </c>
      <c r="C92" s="18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16">
        <f>2.9*4.16/12</f>
        <v>1.0053333333333334</v>
      </c>
      <c r="AB92" s="16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  <c r="IZ92" s="23"/>
      <c r="JA92" s="23"/>
      <c r="JB92" s="23"/>
      <c r="JC92" s="23"/>
      <c r="JD92" s="23"/>
      <c r="JE92" s="23"/>
      <c r="JF92" s="23"/>
      <c r="JG92" s="23"/>
      <c r="JH92" s="23"/>
      <c r="JI92" s="23"/>
      <c r="JJ92" s="23"/>
      <c r="JK92" s="23"/>
      <c r="JL92" s="23"/>
      <c r="JM92" s="23"/>
      <c r="JN92" s="23"/>
      <c r="JO92" s="23"/>
      <c r="JP92" s="23"/>
      <c r="JQ92" s="23"/>
      <c r="JR92" s="23"/>
      <c r="JS92" s="23"/>
      <c r="JT92" s="23"/>
      <c r="JU92" s="23"/>
      <c r="JV92" s="23"/>
      <c r="JW92" s="23"/>
      <c r="JX92" s="23"/>
      <c r="JY92" s="23"/>
      <c r="JZ92" s="23"/>
      <c r="KA92" s="23"/>
      <c r="KB92" s="23"/>
      <c r="KC92" s="23"/>
      <c r="KD92" s="23"/>
      <c r="KE92" s="23"/>
      <c r="KF92" s="23"/>
      <c r="KG92" s="23"/>
      <c r="KH92" s="23"/>
      <c r="KI92" s="23"/>
      <c r="KJ92" s="23"/>
      <c r="KK92" s="23"/>
      <c r="KL92" s="23"/>
      <c r="KM92" s="23"/>
      <c r="KN92" s="23"/>
      <c r="KO92" s="23"/>
      <c r="KP92" s="23"/>
      <c r="KQ92" s="23"/>
      <c r="KR92" s="23"/>
      <c r="KS92" s="17"/>
      <c r="KT92" s="17"/>
      <c r="KU92" s="17"/>
      <c r="KV92" s="17"/>
      <c r="KW92" s="17"/>
      <c r="KX92" s="16"/>
      <c r="KY92" s="16">
        <f>4/12</f>
        <v>0.33333333333333331</v>
      </c>
      <c r="KZ92" s="16"/>
      <c r="LA92" s="16">
        <f>4/12</f>
        <v>0.33333333333333331</v>
      </c>
      <c r="LB92" s="16"/>
      <c r="LC92" s="16"/>
      <c r="LD92" s="16"/>
      <c r="LE92" s="16">
        <v>1.2</v>
      </c>
      <c r="LF92" s="16"/>
      <c r="LG92" s="16"/>
      <c r="LH92" s="17"/>
      <c r="LI92" s="25">
        <v>-0.25</v>
      </c>
    </row>
    <row r="93" spans="1:321" ht="15" customHeight="1" x14ac:dyDescent="0.2">
      <c r="A93" s="1" t="str">
        <f>crop!A93</f>
        <v>Cow feeding system: all year indoor, hay &amp; rapeseed meal supplement</v>
      </c>
      <c r="B93" s="1" t="str">
        <f>crop!B93</f>
        <v>A.6.10</v>
      </c>
      <c r="C93" s="18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16">
        <v>2.9</v>
      </c>
      <c r="AB93" s="16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4">
        <f>0.5+0.67</f>
        <v>1.17</v>
      </c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4">
        <f>0.5+0.67</f>
        <v>1.17</v>
      </c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4">
        <f>0.5+0.67</f>
        <v>1.17</v>
      </c>
      <c r="KP93" s="23"/>
      <c r="KQ93" s="23"/>
      <c r="KR93" s="23"/>
      <c r="KS93" s="17"/>
      <c r="KT93" s="17"/>
      <c r="KU93" s="17"/>
      <c r="KV93" s="17"/>
      <c r="KW93" s="17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7"/>
      <c r="LI93" s="25"/>
    </row>
    <row r="94" spans="1:321" ht="15" customHeight="1" x14ac:dyDescent="0.2">
      <c r="A94" s="6" t="str">
        <f>crop!A94</f>
        <v>Cow feeding system: 9 months grazing, without protein feed supplement</v>
      </c>
      <c r="B94" s="6" t="str">
        <f>crop!B94</f>
        <v>A.6.11</v>
      </c>
      <c r="C94" s="18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16">
        <f>2.9*3/12</f>
        <v>0.72499999999999998</v>
      </c>
      <c r="AB94" s="16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  <c r="JL94" s="23"/>
      <c r="JM94" s="23"/>
      <c r="JN94" s="23"/>
      <c r="JO94" s="23"/>
      <c r="JP94" s="23"/>
      <c r="JQ94" s="23"/>
      <c r="JR94" s="23"/>
      <c r="JS94" s="23"/>
      <c r="JT94" s="23"/>
      <c r="JU94" s="23"/>
      <c r="JV94" s="23"/>
      <c r="JW94" s="23"/>
      <c r="JX94" s="23"/>
      <c r="JY94" s="23"/>
      <c r="JZ94" s="23"/>
      <c r="KA94" s="23"/>
      <c r="KB94" s="23"/>
      <c r="KC94" s="23"/>
      <c r="KD94" s="23"/>
      <c r="KE94" s="23"/>
      <c r="KF94" s="23"/>
      <c r="KG94" s="23"/>
      <c r="KH94" s="23"/>
      <c r="KI94" s="23"/>
      <c r="KJ94" s="23"/>
      <c r="KK94" s="23"/>
      <c r="KL94" s="23"/>
      <c r="KM94" s="23"/>
      <c r="KN94" s="23"/>
      <c r="KO94" s="23"/>
      <c r="KP94" s="23"/>
      <c r="KQ94" s="23"/>
      <c r="KR94" s="23"/>
      <c r="KS94" s="17"/>
      <c r="KT94" s="17"/>
      <c r="KU94" s="17"/>
      <c r="KV94" s="17"/>
      <c r="KW94" s="17"/>
      <c r="KX94" s="16"/>
      <c r="KY94" s="16">
        <f>3/12</f>
        <v>0.25</v>
      </c>
      <c r="KZ94" s="16"/>
      <c r="LA94" s="16">
        <f>3/12</f>
        <v>0.25</v>
      </c>
      <c r="LB94" s="16"/>
      <c r="LC94" s="16"/>
      <c r="LD94" s="16"/>
      <c r="LE94" s="16">
        <v>1.2</v>
      </c>
      <c r="LF94" s="16"/>
      <c r="LG94" s="16"/>
      <c r="LH94" s="17"/>
      <c r="LI94" s="25">
        <v>-0.25</v>
      </c>
    </row>
    <row r="95" spans="1:321" ht="15" customHeight="1" x14ac:dyDescent="0.2">
      <c r="A95" s="2" t="str">
        <f>crop!A95</f>
        <v>No concentrate supply for lactating dairy cows</v>
      </c>
      <c r="B95" s="1" t="str">
        <f>crop!B95</f>
        <v>A.7.1</v>
      </c>
      <c r="C95" s="18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16"/>
      <c r="AB95" s="16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17"/>
      <c r="KT95" s="17"/>
      <c r="KU95" s="17"/>
      <c r="KV95" s="17"/>
      <c r="KW95" s="17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7"/>
      <c r="LI95" s="25"/>
    </row>
    <row r="96" spans="1:321" ht="15" customHeight="1" x14ac:dyDescent="0.2">
      <c r="A96" s="2" t="str">
        <f>crop!A96</f>
        <v>+1000 kg / cow / year with soybean meal and cereals</v>
      </c>
      <c r="B96" s="1" t="str">
        <f>crop!B96</f>
        <v>A.7.2</v>
      </c>
      <c r="C96" s="18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16"/>
      <c r="AB96" s="16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23"/>
      <c r="JP96" s="23"/>
      <c r="JQ96" s="23"/>
      <c r="JR96" s="23"/>
      <c r="JS96" s="23"/>
      <c r="JT96" s="23"/>
      <c r="JU96" s="23"/>
      <c r="JV96" s="23"/>
      <c r="JW96" s="23"/>
      <c r="JX96" s="23"/>
      <c r="JY96" s="23"/>
      <c r="JZ96" s="23"/>
      <c r="KA96" s="23"/>
      <c r="KB96" s="23"/>
      <c r="KC96" s="23"/>
      <c r="KD96" s="23"/>
      <c r="KE96" s="23"/>
      <c r="KF96" s="23"/>
      <c r="KG96" s="23"/>
      <c r="KH96" s="23"/>
      <c r="KI96" s="23"/>
      <c r="KJ96" s="23"/>
      <c r="KK96" s="23"/>
      <c r="KL96" s="23"/>
      <c r="KM96" s="23"/>
      <c r="KN96" s="23"/>
      <c r="KO96" s="23"/>
      <c r="KP96" s="23"/>
      <c r="KQ96" s="23"/>
      <c r="KR96" s="23"/>
      <c r="KS96" s="17"/>
      <c r="KT96" s="17"/>
      <c r="KU96" s="17"/>
      <c r="KV96" s="17"/>
      <c r="KW96" s="17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7"/>
      <c r="LI96" s="25"/>
    </row>
    <row r="97" spans="1:321" ht="15" customHeight="1" x14ac:dyDescent="0.2">
      <c r="A97" s="2" t="str">
        <f>crop!A97</f>
        <v>+500 kg / cow / year with soybean meal and cereals</v>
      </c>
      <c r="B97" s="1" t="str">
        <f>crop!B97</f>
        <v>A.7.3</v>
      </c>
      <c r="C97" s="18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16"/>
      <c r="AB97" s="16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17"/>
      <c r="KT97" s="17"/>
      <c r="KU97" s="17"/>
      <c r="KV97" s="17"/>
      <c r="KW97" s="17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7"/>
      <c r="LI97" s="25"/>
    </row>
    <row r="98" spans="1:321" ht="15" customHeight="1" x14ac:dyDescent="0.2">
      <c r="A98" s="10" t="str">
        <f>crop!A98</f>
        <v>+500 kg / cow / year with faba bean and cereals</v>
      </c>
      <c r="B98" s="6" t="str">
        <f>crop!B98</f>
        <v>A.7.4</v>
      </c>
      <c r="C98" s="18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16"/>
      <c r="AB98" s="16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  <c r="JL98" s="23"/>
      <c r="JM98" s="23"/>
      <c r="JN98" s="23"/>
      <c r="JO98" s="23"/>
      <c r="JP98" s="23"/>
      <c r="JQ98" s="23"/>
      <c r="JR98" s="23"/>
      <c r="JS98" s="23"/>
      <c r="JT98" s="23"/>
      <c r="JU98" s="23"/>
      <c r="JV98" s="23"/>
      <c r="JW98" s="23"/>
      <c r="JX98" s="23"/>
      <c r="JY98" s="23"/>
      <c r="JZ98" s="23"/>
      <c r="KA98" s="23"/>
      <c r="KB98" s="23"/>
      <c r="KC98" s="23"/>
      <c r="KD98" s="23"/>
      <c r="KE98" s="23"/>
      <c r="KF98" s="23"/>
      <c r="KG98" s="23"/>
      <c r="KH98" s="23"/>
      <c r="KI98" s="23"/>
      <c r="KJ98" s="23"/>
      <c r="KK98" s="23"/>
      <c r="KL98" s="23"/>
      <c r="KM98" s="23"/>
      <c r="KN98" s="23"/>
      <c r="KO98" s="23"/>
      <c r="KP98" s="23"/>
      <c r="KQ98" s="23"/>
      <c r="KR98" s="23"/>
      <c r="KS98" s="17"/>
      <c r="KT98" s="17"/>
      <c r="KU98" s="17"/>
      <c r="KV98" s="17"/>
      <c r="KW98" s="17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7"/>
      <c r="LI98" s="25"/>
    </row>
    <row r="99" spans="1:321" ht="15" customHeight="1" x14ac:dyDescent="0.2">
      <c r="A99" s="2" t="str">
        <f>crop!A99</f>
        <v>Heifer feeding system: zero grazing / maize silage + soybean meal | Age at first calving: 24 months</v>
      </c>
      <c r="B99" s="1" t="str">
        <f>crop!B99</f>
        <v>A.8.1</v>
      </c>
      <c r="C99" s="18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16"/>
      <c r="AB99" s="16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17"/>
      <c r="KT99" s="17"/>
      <c r="KU99" s="17"/>
      <c r="KV99" s="17"/>
      <c r="KW99" s="17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7"/>
      <c r="LI99" s="25"/>
    </row>
    <row r="100" spans="1:321" ht="15" customHeight="1" x14ac:dyDescent="0.2">
      <c r="A100" s="2" t="str">
        <f>crop!A100</f>
        <v>Heifer feeding system: 4 months grazing / 8 months maize silage + hay + soybean meal | Age at first calving: 24 months</v>
      </c>
      <c r="B100" s="1" t="str">
        <f>crop!B100</f>
        <v>A.8.2</v>
      </c>
      <c r="C100" s="18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16"/>
      <c r="AB100" s="16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  <c r="IZ100" s="23"/>
      <c r="JA100" s="23"/>
      <c r="JB100" s="23"/>
      <c r="JC100" s="23"/>
      <c r="JD100" s="23"/>
      <c r="JE100" s="23"/>
      <c r="JF100" s="23"/>
      <c r="JG100" s="23"/>
      <c r="JH100" s="23"/>
      <c r="JI100" s="23"/>
      <c r="JJ100" s="23"/>
      <c r="JK100" s="23"/>
      <c r="JL100" s="23"/>
      <c r="JM100" s="23"/>
      <c r="JN100" s="23"/>
      <c r="JO100" s="23"/>
      <c r="JP100" s="23"/>
      <c r="JQ100" s="23"/>
      <c r="JR100" s="23"/>
      <c r="JS100" s="23"/>
      <c r="JT100" s="23"/>
      <c r="JU100" s="23"/>
      <c r="JV100" s="23"/>
      <c r="JW100" s="23"/>
      <c r="JX100" s="23"/>
      <c r="JY100" s="23"/>
      <c r="JZ100" s="23"/>
      <c r="KA100" s="23"/>
      <c r="KB100" s="23"/>
      <c r="KC100" s="23"/>
      <c r="KD100" s="23"/>
      <c r="KE100" s="23"/>
      <c r="KF100" s="23"/>
      <c r="KG100" s="23"/>
      <c r="KH100" s="23"/>
      <c r="KI100" s="23"/>
      <c r="KJ100" s="23"/>
      <c r="KK100" s="23"/>
      <c r="KL100" s="23"/>
      <c r="KM100" s="23"/>
      <c r="KN100" s="23"/>
      <c r="KO100" s="23"/>
      <c r="KP100" s="23"/>
      <c r="KQ100" s="23"/>
      <c r="KR100" s="23"/>
      <c r="KS100" s="17"/>
      <c r="KT100" s="17"/>
      <c r="KU100" s="17"/>
      <c r="KV100" s="17"/>
      <c r="KW100" s="17"/>
      <c r="KX100" s="16"/>
      <c r="KY100" s="16"/>
      <c r="KZ100" s="16">
        <f>8/12</f>
        <v>0.66666666666666663</v>
      </c>
      <c r="LA100" s="16"/>
      <c r="LB100" s="16">
        <f>8/12</f>
        <v>0.66666666666666663</v>
      </c>
      <c r="LC100" s="16"/>
      <c r="LD100" s="16"/>
      <c r="LE100" s="16"/>
      <c r="LF100" s="16">
        <v>1.2</v>
      </c>
      <c r="LG100" s="16"/>
      <c r="LH100" s="17"/>
      <c r="LI100" s="25">
        <v>-0.125</v>
      </c>
    </row>
    <row r="101" spans="1:321" ht="15" customHeight="1" x14ac:dyDescent="0.2">
      <c r="A101" s="2" t="str">
        <f>crop!A101</f>
        <v>Heifer feeding system: 6 months grazing / 6 months maize silage + grass silage (or hay) + soybean meal | Age at first calving: 24 months</v>
      </c>
      <c r="B101" s="1" t="str">
        <f>crop!B101</f>
        <v>A.8.3</v>
      </c>
      <c r="C101" s="18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16"/>
      <c r="AB101" s="16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  <c r="IZ101" s="23"/>
      <c r="JA101" s="23"/>
      <c r="JB101" s="23"/>
      <c r="JC101" s="23"/>
      <c r="JD101" s="23"/>
      <c r="JE101" s="23"/>
      <c r="JF101" s="23"/>
      <c r="JG101" s="23"/>
      <c r="JH101" s="23"/>
      <c r="JI101" s="23"/>
      <c r="JJ101" s="23"/>
      <c r="JK101" s="23"/>
      <c r="JL101" s="23"/>
      <c r="JM101" s="23"/>
      <c r="JN101" s="23"/>
      <c r="JO101" s="23"/>
      <c r="JP101" s="23"/>
      <c r="JQ101" s="23"/>
      <c r="JR101" s="23"/>
      <c r="JS101" s="23"/>
      <c r="JT101" s="23"/>
      <c r="JU101" s="23"/>
      <c r="JV101" s="23"/>
      <c r="JW101" s="23"/>
      <c r="JX101" s="23"/>
      <c r="JY101" s="23"/>
      <c r="JZ101" s="23"/>
      <c r="KA101" s="23"/>
      <c r="KB101" s="23"/>
      <c r="KC101" s="23"/>
      <c r="KD101" s="23"/>
      <c r="KE101" s="23"/>
      <c r="KF101" s="23"/>
      <c r="KG101" s="23"/>
      <c r="KH101" s="23"/>
      <c r="KI101" s="23"/>
      <c r="KJ101" s="23"/>
      <c r="KK101" s="23"/>
      <c r="KL101" s="23"/>
      <c r="KM101" s="23"/>
      <c r="KN101" s="23"/>
      <c r="KO101" s="23"/>
      <c r="KP101" s="23"/>
      <c r="KQ101" s="23"/>
      <c r="KR101" s="23"/>
      <c r="KS101" s="17"/>
      <c r="KT101" s="17"/>
      <c r="KU101" s="17"/>
      <c r="KV101" s="17"/>
      <c r="KW101" s="17"/>
      <c r="KX101" s="16"/>
      <c r="KY101" s="16"/>
      <c r="KZ101" s="16">
        <f>6/12</f>
        <v>0.5</v>
      </c>
      <c r="LA101" s="16"/>
      <c r="LB101" s="16">
        <f>6/12</f>
        <v>0.5</v>
      </c>
      <c r="LC101" s="16"/>
      <c r="LD101" s="16"/>
      <c r="LE101" s="16"/>
      <c r="LF101" s="16">
        <v>1.2</v>
      </c>
      <c r="LG101" s="16"/>
      <c r="LH101" s="17"/>
      <c r="LI101" s="25">
        <v>-0.125</v>
      </c>
    </row>
    <row r="102" spans="1:321" ht="15" customHeight="1" x14ac:dyDescent="0.2">
      <c r="A102" s="2" t="str">
        <f>crop!A102</f>
        <v>Heifer feeding system: 6 months grazing / 6 months grass silage (or hay) + cereals + soybean meal | Age at first calving: 24 months</v>
      </c>
      <c r="B102" s="1" t="str">
        <f>crop!B102</f>
        <v>A.8.4</v>
      </c>
      <c r="C102" s="18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16"/>
      <c r="AB102" s="16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  <c r="IZ102" s="23"/>
      <c r="JA102" s="23"/>
      <c r="JB102" s="23"/>
      <c r="JC102" s="23"/>
      <c r="JD102" s="23"/>
      <c r="JE102" s="23"/>
      <c r="JF102" s="23"/>
      <c r="JG102" s="23"/>
      <c r="JH102" s="23"/>
      <c r="JI102" s="23"/>
      <c r="JJ102" s="23"/>
      <c r="JK102" s="23"/>
      <c r="JL102" s="23"/>
      <c r="JM102" s="23"/>
      <c r="JN102" s="23"/>
      <c r="JO102" s="23"/>
      <c r="JP102" s="23"/>
      <c r="JQ102" s="23"/>
      <c r="JR102" s="23"/>
      <c r="JS102" s="23"/>
      <c r="JT102" s="23"/>
      <c r="JU102" s="23"/>
      <c r="JV102" s="23"/>
      <c r="JW102" s="23"/>
      <c r="JX102" s="23"/>
      <c r="JY102" s="23"/>
      <c r="JZ102" s="23"/>
      <c r="KA102" s="23"/>
      <c r="KB102" s="23"/>
      <c r="KC102" s="23"/>
      <c r="KD102" s="23"/>
      <c r="KE102" s="23"/>
      <c r="KF102" s="23"/>
      <c r="KG102" s="23"/>
      <c r="KH102" s="23"/>
      <c r="KI102" s="23"/>
      <c r="KJ102" s="23"/>
      <c r="KK102" s="23"/>
      <c r="KL102" s="23"/>
      <c r="KM102" s="23"/>
      <c r="KN102" s="23"/>
      <c r="KO102" s="23"/>
      <c r="KP102" s="23"/>
      <c r="KQ102" s="23"/>
      <c r="KR102" s="23"/>
      <c r="KS102" s="17"/>
      <c r="KT102" s="17"/>
      <c r="KU102" s="17"/>
      <c r="KV102" s="17"/>
      <c r="KW102" s="17"/>
      <c r="KX102" s="16"/>
      <c r="KY102" s="16"/>
      <c r="KZ102" s="16">
        <f>6/12</f>
        <v>0.5</v>
      </c>
      <c r="LA102" s="16"/>
      <c r="LB102" s="16">
        <f>6/12</f>
        <v>0.5</v>
      </c>
      <c r="LC102" s="16"/>
      <c r="LD102" s="16"/>
      <c r="LE102" s="16"/>
      <c r="LF102" s="16">
        <v>1.2</v>
      </c>
      <c r="LG102" s="16"/>
      <c r="LH102" s="17"/>
      <c r="LI102" s="25">
        <v>-0.125</v>
      </c>
    </row>
    <row r="103" spans="1:321" ht="15" customHeight="1" x14ac:dyDescent="0.2">
      <c r="A103" s="2" t="str">
        <f>crop!A103</f>
        <v>Heifer feeding system: zero grazing / maize silage + soybean meal | Age at first calving: 29 months</v>
      </c>
      <c r="B103" s="1" t="str">
        <f>crop!B103</f>
        <v>A.8.5</v>
      </c>
      <c r="C103" s="18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16"/>
      <c r="AB103" s="16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  <c r="IZ103" s="23"/>
      <c r="JA103" s="23"/>
      <c r="JB103" s="23"/>
      <c r="JC103" s="23"/>
      <c r="JD103" s="23"/>
      <c r="JE103" s="23"/>
      <c r="JF103" s="23"/>
      <c r="JG103" s="23"/>
      <c r="JH103" s="23"/>
      <c r="JI103" s="23"/>
      <c r="JJ103" s="23"/>
      <c r="JK103" s="23"/>
      <c r="JL103" s="23"/>
      <c r="JM103" s="23"/>
      <c r="JN103" s="23"/>
      <c r="JO103" s="23"/>
      <c r="JP103" s="23"/>
      <c r="JQ103" s="23"/>
      <c r="JR103" s="23"/>
      <c r="JS103" s="23"/>
      <c r="JT103" s="23"/>
      <c r="JU103" s="23"/>
      <c r="JV103" s="23"/>
      <c r="JW103" s="23"/>
      <c r="JX103" s="23"/>
      <c r="JY103" s="23"/>
      <c r="JZ103" s="23"/>
      <c r="KA103" s="23"/>
      <c r="KB103" s="23"/>
      <c r="KC103" s="23"/>
      <c r="KD103" s="23"/>
      <c r="KE103" s="23"/>
      <c r="KF103" s="23"/>
      <c r="KG103" s="23"/>
      <c r="KH103" s="23"/>
      <c r="KI103" s="23"/>
      <c r="KJ103" s="23"/>
      <c r="KK103" s="23"/>
      <c r="KL103" s="23"/>
      <c r="KM103" s="23"/>
      <c r="KN103" s="23"/>
      <c r="KO103" s="23"/>
      <c r="KP103" s="23"/>
      <c r="KQ103" s="23"/>
      <c r="KR103" s="23"/>
      <c r="KS103" s="17"/>
      <c r="KT103" s="17"/>
      <c r="KU103" s="17"/>
      <c r="KV103" s="17"/>
      <c r="KW103" s="17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7"/>
      <c r="LI103" s="25"/>
    </row>
    <row r="104" spans="1:321" ht="15" customHeight="1" x14ac:dyDescent="0.2">
      <c r="A104" s="2" t="str">
        <f>crop!A104</f>
        <v>Heifer feeding system: 4 months grazing / 8 months maize silage + hay + soybean meal | Age at first calving: 29 months</v>
      </c>
      <c r="B104" s="1" t="str">
        <f>crop!B104</f>
        <v>A.8.6</v>
      </c>
      <c r="C104" s="18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16"/>
      <c r="AB104" s="16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3"/>
      <c r="KG104" s="23"/>
      <c r="KH104" s="23"/>
      <c r="KI104" s="23"/>
      <c r="KJ104" s="23"/>
      <c r="KK104" s="23"/>
      <c r="KL104" s="23"/>
      <c r="KM104" s="23"/>
      <c r="KN104" s="23"/>
      <c r="KO104" s="23"/>
      <c r="KP104" s="23"/>
      <c r="KQ104" s="23"/>
      <c r="KR104" s="23"/>
      <c r="KS104" s="17"/>
      <c r="KT104" s="17"/>
      <c r="KU104" s="17"/>
      <c r="KV104" s="17"/>
      <c r="KW104" s="17"/>
      <c r="KX104" s="16"/>
      <c r="KY104" s="16"/>
      <c r="KZ104" s="16">
        <f>8/12</f>
        <v>0.66666666666666663</v>
      </c>
      <c r="LA104" s="16"/>
      <c r="LB104" s="16">
        <f>8/12</f>
        <v>0.66666666666666663</v>
      </c>
      <c r="LC104" s="16"/>
      <c r="LD104" s="16"/>
      <c r="LE104" s="16"/>
      <c r="LF104" s="16">
        <v>1.2</v>
      </c>
      <c r="LG104" s="16"/>
      <c r="LH104" s="17"/>
      <c r="LI104" s="25">
        <v>-0.125</v>
      </c>
    </row>
    <row r="105" spans="1:321" ht="15" customHeight="1" x14ac:dyDescent="0.2">
      <c r="A105" s="2" t="str">
        <f>crop!A105</f>
        <v>Heifer feeding system: 6 months grazing / 6 months maize silage + grass silage (or hay) + soybean meal | Age at first calving: 29 months</v>
      </c>
      <c r="B105" s="1" t="str">
        <f>crop!B105</f>
        <v>A.8.7</v>
      </c>
      <c r="C105" s="18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16"/>
      <c r="AB105" s="16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  <c r="IZ105" s="23"/>
      <c r="JA105" s="23"/>
      <c r="JB105" s="23"/>
      <c r="JC105" s="23"/>
      <c r="JD105" s="23"/>
      <c r="JE105" s="23"/>
      <c r="JF105" s="23"/>
      <c r="JG105" s="23"/>
      <c r="JH105" s="23"/>
      <c r="JI105" s="23"/>
      <c r="JJ105" s="23"/>
      <c r="JK105" s="23"/>
      <c r="JL105" s="23"/>
      <c r="JM105" s="23"/>
      <c r="JN105" s="23"/>
      <c r="JO105" s="23"/>
      <c r="JP105" s="23"/>
      <c r="JQ105" s="23"/>
      <c r="JR105" s="23"/>
      <c r="JS105" s="23"/>
      <c r="JT105" s="23"/>
      <c r="JU105" s="23"/>
      <c r="JV105" s="23"/>
      <c r="JW105" s="23"/>
      <c r="JX105" s="23"/>
      <c r="JY105" s="23"/>
      <c r="JZ105" s="23"/>
      <c r="KA105" s="23"/>
      <c r="KB105" s="23"/>
      <c r="KC105" s="23"/>
      <c r="KD105" s="23"/>
      <c r="KE105" s="23"/>
      <c r="KF105" s="23"/>
      <c r="KG105" s="23"/>
      <c r="KH105" s="23"/>
      <c r="KI105" s="23"/>
      <c r="KJ105" s="23"/>
      <c r="KK105" s="23"/>
      <c r="KL105" s="23"/>
      <c r="KM105" s="23"/>
      <c r="KN105" s="23"/>
      <c r="KO105" s="23"/>
      <c r="KP105" s="23"/>
      <c r="KQ105" s="23"/>
      <c r="KR105" s="23"/>
      <c r="KS105" s="17"/>
      <c r="KT105" s="17"/>
      <c r="KU105" s="17"/>
      <c r="KV105" s="17"/>
      <c r="KW105" s="17"/>
      <c r="KX105" s="16"/>
      <c r="KY105" s="16"/>
      <c r="KZ105" s="16">
        <f>6/12</f>
        <v>0.5</v>
      </c>
      <c r="LA105" s="16"/>
      <c r="LB105" s="16">
        <f>6/12</f>
        <v>0.5</v>
      </c>
      <c r="LC105" s="16"/>
      <c r="LD105" s="16"/>
      <c r="LE105" s="16"/>
      <c r="LF105" s="16">
        <v>1.2</v>
      </c>
      <c r="LG105" s="16"/>
      <c r="LH105" s="17"/>
      <c r="LI105" s="25">
        <v>-0.125</v>
      </c>
    </row>
    <row r="106" spans="1:321" ht="15" customHeight="1" x14ac:dyDescent="0.2">
      <c r="A106" s="10" t="str">
        <f>crop!A106</f>
        <v>Heifer feeding system: 6 months grazing / 6 months grass silage (or hay) + cereals + soybean meal | Age at first calving: 29 months</v>
      </c>
      <c r="B106" s="6" t="str">
        <f>crop!B106</f>
        <v>A.8.8</v>
      </c>
      <c r="C106" s="18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17"/>
      <c r="AB106" s="17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  <c r="IZ106" s="23"/>
      <c r="JA106" s="23"/>
      <c r="JB106" s="23"/>
      <c r="JC106" s="23"/>
      <c r="JD106" s="23"/>
      <c r="JE106" s="23"/>
      <c r="JF106" s="23"/>
      <c r="JG106" s="23"/>
      <c r="JH106" s="23"/>
      <c r="JI106" s="23"/>
      <c r="JJ106" s="23"/>
      <c r="JK106" s="23"/>
      <c r="JL106" s="23"/>
      <c r="JM106" s="23"/>
      <c r="JN106" s="23"/>
      <c r="JO106" s="23"/>
      <c r="JP106" s="23"/>
      <c r="JQ106" s="23"/>
      <c r="JR106" s="23"/>
      <c r="JS106" s="23"/>
      <c r="JT106" s="23"/>
      <c r="JU106" s="23"/>
      <c r="JV106" s="23"/>
      <c r="JW106" s="23"/>
      <c r="JX106" s="23"/>
      <c r="JY106" s="23"/>
      <c r="JZ106" s="23"/>
      <c r="KA106" s="23"/>
      <c r="KB106" s="23"/>
      <c r="KC106" s="23"/>
      <c r="KD106" s="23"/>
      <c r="KE106" s="23"/>
      <c r="KF106" s="23"/>
      <c r="KG106" s="23"/>
      <c r="KH106" s="23"/>
      <c r="KI106" s="23"/>
      <c r="KJ106" s="23"/>
      <c r="KK106" s="23"/>
      <c r="KL106" s="23"/>
      <c r="KM106" s="23"/>
      <c r="KN106" s="23"/>
      <c r="KO106" s="23"/>
      <c r="KP106" s="23"/>
      <c r="KQ106" s="23"/>
      <c r="KR106" s="23"/>
      <c r="KS106" s="17"/>
      <c r="KT106" s="17"/>
      <c r="KU106" s="17"/>
      <c r="KV106" s="17"/>
      <c r="KW106" s="17"/>
      <c r="KX106" s="17"/>
      <c r="KY106" s="17"/>
      <c r="KZ106" s="16">
        <f>6/12</f>
        <v>0.5</v>
      </c>
      <c r="LA106" s="17"/>
      <c r="LB106" s="16">
        <f>6/12</f>
        <v>0.5</v>
      </c>
      <c r="LC106" s="17"/>
      <c r="LD106" s="17"/>
      <c r="LE106" s="17"/>
      <c r="LF106" s="16">
        <v>1.2</v>
      </c>
      <c r="LG106" s="17"/>
      <c r="LH106" s="17"/>
      <c r="LI106" s="25">
        <v>-0.125</v>
      </c>
    </row>
    <row r="107" spans="1:321" ht="15" customHeight="1" x14ac:dyDescent="0.2">
      <c r="A107" s="2" t="str">
        <f>crop!A107</f>
        <v>Systematic antibiotic treatment of cows</v>
      </c>
      <c r="B107" s="1" t="str">
        <f>crop!B107</f>
        <v>A.9.1</v>
      </c>
      <c r="C107" s="18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16"/>
      <c r="AB107" s="16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  <c r="IZ107" s="23"/>
      <c r="JA107" s="23"/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  <c r="JL107" s="23"/>
      <c r="JM107" s="23"/>
      <c r="JN107" s="23"/>
      <c r="JO107" s="23"/>
      <c r="JP107" s="23"/>
      <c r="JQ107" s="23"/>
      <c r="JR107" s="23"/>
      <c r="JS107" s="23"/>
      <c r="JT107" s="23"/>
      <c r="JU107" s="23"/>
      <c r="JV107" s="23"/>
      <c r="JW107" s="23"/>
      <c r="JX107" s="23"/>
      <c r="JY107" s="23"/>
      <c r="JZ107" s="23"/>
      <c r="KA107" s="23"/>
      <c r="KB107" s="23"/>
      <c r="KC107" s="23"/>
      <c r="KD107" s="23"/>
      <c r="KE107" s="23"/>
      <c r="KF107" s="23"/>
      <c r="KG107" s="23"/>
      <c r="KH107" s="23"/>
      <c r="KI107" s="23"/>
      <c r="KJ107" s="23"/>
      <c r="KK107" s="23"/>
      <c r="KL107" s="23"/>
      <c r="KM107" s="23"/>
      <c r="KN107" s="23"/>
      <c r="KO107" s="23"/>
      <c r="KP107" s="23"/>
      <c r="KQ107" s="23"/>
      <c r="KR107" s="23"/>
      <c r="KS107" s="17"/>
      <c r="KT107" s="17"/>
      <c r="KU107" s="17"/>
      <c r="KV107" s="17"/>
      <c r="KW107" s="17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7"/>
      <c r="LI107" s="25"/>
    </row>
    <row r="108" spans="1:321" ht="15" customHeight="1" x14ac:dyDescent="0.2">
      <c r="A108" s="2" t="str">
        <f>crop!A108</f>
        <v>Selective antibiotic treatment of cows</v>
      </c>
      <c r="B108" s="1" t="str">
        <f>crop!B108</f>
        <v>A.9.2</v>
      </c>
      <c r="C108" s="18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16"/>
      <c r="AB108" s="16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  <c r="JL108" s="23"/>
      <c r="JM108" s="23"/>
      <c r="JN108" s="23"/>
      <c r="JO108" s="23"/>
      <c r="JP108" s="23"/>
      <c r="JQ108" s="23"/>
      <c r="JR108" s="23"/>
      <c r="JS108" s="23"/>
      <c r="JT108" s="23"/>
      <c r="JU108" s="23"/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17"/>
      <c r="KT108" s="17"/>
      <c r="KU108" s="17"/>
      <c r="KV108" s="17"/>
      <c r="KW108" s="17"/>
      <c r="KX108" s="16"/>
      <c r="KY108" s="16"/>
      <c r="KZ108" s="16"/>
      <c r="LA108" s="16"/>
      <c r="LB108" s="16"/>
      <c r="LC108" s="16">
        <v>1.2</v>
      </c>
      <c r="LD108" s="16"/>
      <c r="LE108" s="16"/>
      <c r="LF108" s="16"/>
      <c r="LG108" s="16"/>
      <c r="LH108" s="17"/>
      <c r="LI108" s="25">
        <v>-0.125</v>
      </c>
    </row>
    <row r="109" spans="1:321" ht="15" customHeight="1" x14ac:dyDescent="0.2">
      <c r="A109" s="10" t="str">
        <f>crop!A109</f>
        <v>Preventive measures of hygiene of the housing conditions (no treatment of cows)</v>
      </c>
      <c r="B109" s="6" t="str">
        <f>crop!B109</f>
        <v>A.9.3</v>
      </c>
      <c r="C109" s="18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16"/>
      <c r="AB109" s="16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/>
      <c r="JQ109" s="23"/>
      <c r="JR109" s="23"/>
      <c r="JS109" s="23"/>
      <c r="JT109" s="23"/>
      <c r="JU109" s="23"/>
      <c r="JV109" s="23"/>
      <c r="JW109" s="23"/>
      <c r="JX109" s="23"/>
      <c r="JY109" s="23"/>
      <c r="JZ109" s="23"/>
      <c r="KA109" s="23"/>
      <c r="KB109" s="23"/>
      <c r="KC109" s="23"/>
      <c r="KD109" s="23"/>
      <c r="KE109" s="23"/>
      <c r="KF109" s="23"/>
      <c r="KG109" s="23"/>
      <c r="KH109" s="23"/>
      <c r="KI109" s="23"/>
      <c r="KJ109" s="23"/>
      <c r="KK109" s="23"/>
      <c r="KL109" s="23"/>
      <c r="KM109" s="23"/>
      <c r="KN109" s="23"/>
      <c r="KO109" s="23"/>
      <c r="KP109" s="23"/>
      <c r="KQ109" s="23"/>
      <c r="KR109" s="23"/>
      <c r="KS109" s="17"/>
      <c r="KT109" s="17"/>
      <c r="KU109" s="17"/>
      <c r="KV109" s="17"/>
      <c r="KW109" s="17"/>
      <c r="KX109" s="16"/>
      <c r="KY109" s="16"/>
      <c r="KZ109" s="16"/>
      <c r="LA109" s="16"/>
      <c r="LB109" s="16"/>
      <c r="LC109" s="16">
        <v>0.1</v>
      </c>
      <c r="LD109" s="16"/>
      <c r="LE109" s="16"/>
      <c r="LF109" s="16"/>
      <c r="LG109" s="16"/>
      <c r="LH109" s="17"/>
      <c r="LI109" s="25">
        <v>-0.25</v>
      </c>
    </row>
    <row r="110" spans="1:321" ht="15" customHeight="1" x14ac:dyDescent="0.2">
      <c r="A110" s="2" t="str">
        <f>crop!A110</f>
        <v>Systematic anti-parasitic treatment of heifers</v>
      </c>
      <c r="B110" s="1" t="str">
        <f>crop!B110</f>
        <v>A.10.1</v>
      </c>
      <c r="C110" s="18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16"/>
      <c r="AB110" s="16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  <c r="JL110" s="23"/>
      <c r="JM110" s="23"/>
      <c r="JN110" s="23"/>
      <c r="JO110" s="23"/>
      <c r="JP110" s="23"/>
      <c r="JQ110" s="23"/>
      <c r="JR110" s="23"/>
      <c r="JS110" s="23"/>
      <c r="JT110" s="23"/>
      <c r="JU110" s="23"/>
      <c r="JV110" s="23"/>
      <c r="JW110" s="23"/>
      <c r="JX110" s="23"/>
      <c r="JY110" s="23"/>
      <c r="JZ110" s="23"/>
      <c r="KA110" s="23"/>
      <c r="KB110" s="23"/>
      <c r="KC110" s="23"/>
      <c r="KD110" s="23"/>
      <c r="KE110" s="23"/>
      <c r="KF110" s="23"/>
      <c r="KG110" s="23"/>
      <c r="KH110" s="23"/>
      <c r="KI110" s="23"/>
      <c r="KJ110" s="23"/>
      <c r="KK110" s="23"/>
      <c r="KL110" s="23"/>
      <c r="KM110" s="23"/>
      <c r="KN110" s="23"/>
      <c r="KO110" s="23"/>
      <c r="KP110" s="23"/>
      <c r="KQ110" s="23"/>
      <c r="KR110" s="23"/>
      <c r="KS110" s="17"/>
      <c r="KT110" s="17"/>
      <c r="KU110" s="17"/>
      <c r="KV110" s="17"/>
      <c r="KW110" s="17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7"/>
      <c r="LI110" s="25"/>
    </row>
    <row r="111" spans="1:321" ht="15" customHeight="1" x14ac:dyDescent="0.2">
      <c r="A111" s="2" t="str">
        <f>crop!A111</f>
        <v>Selective/targeted treatment of heifers shedding high amounts of parasites</v>
      </c>
      <c r="B111" s="1" t="str">
        <f>crop!B111</f>
        <v>A.10.2</v>
      </c>
      <c r="C111" s="18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16"/>
      <c r="AB111" s="16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/>
      <c r="JQ111" s="23"/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  <c r="KG111" s="23"/>
      <c r="KH111" s="23"/>
      <c r="KI111" s="23"/>
      <c r="KJ111" s="23"/>
      <c r="KK111" s="23"/>
      <c r="KL111" s="23"/>
      <c r="KM111" s="23"/>
      <c r="KN111" s="23"/>
      <c r="KO111" s="23"/>
      <c r="KP111" s="23"/>
      <c r="KQ111" s="23"/>
      <c r="KR111" s="23"/>
      <c r="KS111" s="17"/>
      <c r="KT111" s="17"/>
      <c r="KU111" s="17"/>
      <c r="KV111" s="17"/>
      <c r="KW111" s="17"/>
      <c r="KX111" s="16"/>
      <c r="KY111" s="16"/>
      <c r="KZ111" s="16"/>
      <c r="LA111" s="16"/>
      <c r="LB111" s="16"/>
      <c r="LC111" s="16"/>
      <c r="LD111" s="16">
        <v>1.2</v>
      </c>
      <c r="LE111" s="16"/>
      <c r="LF111" s="16"/>
      <c r="LG111" s="16"/>
      <c r="LH111" s="17"/>
      <c r="LI111" s="25">
        <v>-0.125</v>
      </c>
    </row>
    <row r="112" spans="1:321" ht="15" customHeight="1" x14ac:dyDescent="0.2">
      <c r="A112" s="10" t="str">
        <f>crop!A112</f>
        <v>Immunization against internal parasites by low exposure grazing of heifers (no treatment)</v>
      </c>
      <c r="B112" s="6" t="str">
        <f>crop!B112</f>
        <v>A.10.3</v>
      </c>
      <c r="C112" s="18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16"/>
      <c r="AB112" s="16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  <c r="JL112" s="23"/>
      <c r="JM112" s="23"/>
      <c r="JN112" s="23"/>
      <c r="JO112" s="23"/>
      <c r="JP112" s="23"/>
      <c r="JQ112" s="23"/>
      <c r="JR112" s="23"/>
      <c r="JS112" s="23"/>
      <c r="JT112" s="23"/>
      <c r="JU112" s="23"/>
      <c r="JV112" s="23"/>
      <c r="JW112" s="23"/>
      <c r="JX112" s="23"/>
      <c r="JY112" s="23"/>
      <c r="JZ112" s="23"/>
      <c r="KA112" s="23"/>
      <c r="KB112" s="23"/>
      <c r="KC112" s="23"/>
      <c r="KD112" s="23"/>
      <c r="KE112" s="23"/>
      <c r="KF112" s="23"/>
      <c r="KG112" s="23"/>
      <c r="KH112" s="23"/>
      <c r="KI112" s="23"/>
      <c r="KJ112" s="23"/>
      <c r="KK112" s="23"/>
      <c r="KL112" s="23"/>
      <c r="KM112" s="23"/>
      <c r="KN112" s="23"/>
      <c r="KO112" s="23"/>
      <c r="KP112" s="23"/>
      <c r="KQ112" s="23"/>
      <c r="KR112" s="23"/>
      <c r="KS112" s="17"/>
      <c r="KT112" s="17"/>
      <c r="KU112" s="17"/>
      <c r="KV112" s="17"/>
      <c r="KW112" s="17"/>
      <c r="KX112" s="16"/>
      <c r="KY112" s="16"/>
      <c r="KZ112" s="16"/>
      <c r="LA112" s="16"/>
      <c r="LB112" s="16"/>
      <c r="LC112" s="16"/>
      <c r="LD112" s="16">
        <v>0.1</v>
      </c>
      <c r="LE112" s="16"/>
      <c r="LF112" s="16"/>
      <c r="LG112" s="16"/>
      <c r="LH112" s="17"/>
      <c r="LI112" s="25">
        <v>-0.25</v>
      </c>
    </row>
    <row r="113" spans="1:321" ht="15" customHeight="1" x14ac:dyDescent="0.2">
      <c r="A113" s="2" t="str">
        <f>crop!A113</f>
        <v>Milk replacer is fed to calves</v>
      </c>
      <c r="B113" s="1" t="str">
        <f>crop!B113</f>
        <v>A.11.1</v>
      </c>
      <c r="C113" s="18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16"/>
      <c r="AB113" s="16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/>
      <c r="JZ113" s="23"/>
      <c r="KA113" s="23"/>
      <c r="KB113" s="23"/>
      <c r="KC113" s="23"/>
      <c r="KD113" s="23"/>
      <c r="KE113" s="23"/>
      <c r="KF113" s="23"/>
      <c r="KG113" s="23"/>
      <c r="KH113" s="23"/>
      <c r="KI113" s="23"/>
      <c r="KJ113" s="23"/>
      <c r="KK113" s="23"/>
      <c r="KL113" s="23"/>
      <c r="KM113" s="23"/>
      <c r="KN113" s="23"/>
      <c r="KO113" s="23"/>
      <c r="KP113" s="23"/>
      <c r="KQ113" s="23"/>
      <c r="KR113" s="23"/>
      <c r="KS113" s="17"/>
      <c r="KT113" s="17"/>
      <c r="KU113" s="17"/>
      <c r="KV113" s="17"/>
      <c r="KW113" s="17"/>
      <c r="KX113" s="16"/>
      <c r="KY113" s="16"/>
      <c r="KZ113" s="16">
        <v>1.05</v>
      </c>
      <c r="LA113" s="16"/>
      <c r="LB113" s="16"/>
      <c r="LC113" s="16"/>
      <c r="LD113" s="16"/>
      <c r="LE113" s="16"/>
      <c r="LF113" s="16"/>
      <c r="LG113" s="16"/>
      <c r="LH113" s="17"/>
      <c r="LI113" s="25"/>
    </row>
    <row r="114" spans="1:321" ht="15" customHeight="1" x14ac:dyDescent="0.2">
      <c r="A114" s="10" t="str">
        <f>crop!A114</f>
        <v>Milk is fed to calves</v>
      </c>
      <c r="B114" s="6" t="str">
        <f>crop!B114</f>
        <v>A.11.2</v>
      </c>
      <c r="C114" s="18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16"/>
      <c r="AB114" s="16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/>
      <c r="JQ114" s="23"/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/>
      <c r="KI114" s="23"/>
      <c r="KJ114" s="23"/>
      <c r="KK114" s="23"/>
      <c r="KL114" s="23"/>
      <c r="KM114" s="23"/>
      <c r="KN114" s="23"/>
      <c r="KO114" s="23"/>
      <c r="KP114" s="23"/>
      <c r="KQ114" s="23"/>
      <c r="KR114" s="23"/>
      <c r="KS114" s="17"/>
      <c r="KT114" s="17"/>
      <c r="KU114" s="17"/>
      <c r="KV114" s="17"/>
      <c r="KW114" s="17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7"/>
      <c r="LI114" s="25"/>
    </row>
    <row r="116" spans="1:321" ht="15" customHeight="1" x14ac:dyDescent="0.2">
      <c r="A116" s="7" t="str">
        <f>crop!A116</f>
        <v>CS #1: maize - wheat - barley</v>
      </c>
      <c r="B116" s="7" t="str">
        <f>crop!B116</f>
        <v>C.12.1.be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17"/>
      <c r="AB116" s="17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  <c r="IZ116" s="23"/>
      <c r="JA116" s="23"/>
      <c r="JB116" s="23"/>
      <c r="JC116" s="23"/>
      <c r="JD116" s="23"/>
      <c r="JE116" s="23"/>
      <c r="JF116" s="23"/>
      <c r="JG116" s="23"/>
      <c r="JH116" s="23"/>
      <c r="JI116" s="23"/>
      <c r="JJ116" s="23"/>
      <c r="JK116" s="23"/>
      <c r="JL116" s="23"/>
      <c r="JM116" s="23"/>
      <c r="JN116" s="23"/>
      <c r="JO116" s="23"/>
      <c r="JP116" s="23"/>
      <c r="JQ116" s="23"/>
      <c r="JR116" s="23"/>
      <c r="JS116" s="23"/>
      <c r="JT116" s="23"/>
      <c r="JU116" s="23"/>
      <c r="JV116" s="23"/>
      <c r="JW116" s="23"/>
      <c r="JX116" s="23"/>
      <c r="JY116" s="23"/>
      <c r="JZ116" s="23"/>
      <c r="KA116" s="23"/>
      <c r="KB116" s="23"/>
      <c r="KC116" s="23"/>
      <c r="KD116" s="23"/>
      <c r="KE116" s="23"/>
      <c r="KF116" s="23"/>
      <c r="KG116" s="23"/>
      <c r="KH116" s="23"/>
      <c r="KI116" s="23"/>
      <c r="KJ116" s="23"/>
      <c r="KK116" s="23"/>
      <c r="KL116" s="23"/>
      <c r="KM116" s="23"/>
      <c r="KN116" s="23"/>
      <c r="KO116" s="23"/>
      <c r="KP116" s="23"/>
      <c r="KQ116" s="23"/>
      <c r="KR116" s="23"/>
      <c r="KS116" s="16"/>
      <c r="KT116" s="17"/>
      <c r="KU116" s="16">
        <v>0.8</v>
      </c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25"/>
    </row>
    <row r="117" spans="1:321" ht="15" customHeight="1" x14ac:dyDescent="0.2">
      <c r="A117" s="4" t="str">
        <f>crop!A117</f>
        <v>CS #1: sugar beet - wheat - potato - wheat</v>
      </c>
      <c r="B117" s="4" t="str">
        <f>crop!B117</f>
        <v>C.12.2.be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17"/>
      <c r="AB117" s="17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16"/>
      <c r="KT117" s="17"/>
      <c r="KU117" s="16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25">
        <v>-0.125</v>
      </c>
    </row>
    <row r="118" spans="1:321" ht="15" customHeight="1" x14ac:dyDescent="0.2">
      <c r="A118" s="4" t="str">
        <f>crop!A118</f>
        <v>CS #1: potato - wheat - rapeseed - wheat</v>
      </c>
      <c r="B118" s="4" t="str">
        <f>crop!B118</f>
        <v>C.12.3.be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17"/>
      <c r="AB118" s="17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  <c r="IZ118" s="23"/>
      <c r="JA118" s="23"/>
      <c r="JB118" s="23"/>
      <c r="JC118" s="23"/>
      <c r="JD118" s="23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3"/>
      <c r="KJ118" s="23"/>
      <c r="KK118" s="23"/>
      <c r="KL118" s="23"/>
      <c r="KM118" s="23"/>
      <c r="KN118" s="23"/>
      <c r="KO118" s="23"/>
      <c r="KP118" s="23"/>
      <c r="KQ118" s="23"/>
      <c r="KR118" s="23"/>
      <c r="KS118" s="16"/>
      <c r="KT118" s="17"/>
      <c r="KU118" s="16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25">
        <v>-0.125</v>
      </c>
    </row>
    <row r="119" spans="1:321" ht="15" customHeight="1" x14ac:dyDescent="0.2">
      <c r="A119" s="4" t="str">
        <f>crop!A119</f>
        <v>CS #1: alfalfa (3 years) - maize - wheat</v>
      </c>
      <c r="B119" s="4" t="str">
        <f>crop!B119</f>
        <v>C.12.4.be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17"/>
      <c r="AB119" s="17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  <c r="IZ119" s="23"/>
      <c r="JA119" s="23"/>
      <c r="JB119" s="23"/>
      <c r="JC119" s="23"/>
      <c r="JD119" s="23"/>
      <c r="JE119" s="23"/>
      <c r="JF119" s="23"/>
      <c r="JG119" s="23"/>
      <c r="JH119" s="23"/>
      <c r="JI119" s="23"/>
      <c r="JJ119" s="23"/>
      <c r="JK119" s="23"/>
      <c r="JL119" s="23"/>
      <c r="JM119" s="23"/>
      <c r="JN119" s="23"/>
      <c r="JO119" s="23"/>
      <c r="JP119" s="23"/>
      <c r="JQ119" s="23"/>
      <c r="JR119" s="23"/>
      <c r="JS119" s="23"/>
      <c r="JT119" s="23"/>
      <c r="JU119" s="23"/>
      <c r="JV119" s="23"/>
      <c r="JW119" s="23"/>
      <c r="JX119" s="23"/>
      <c r="JY119" s="23"/>
      <c r="JZ119" s="23"/>
      <c r="KA119" s="23"/>
      <c r="KB119" s="23"/>
      <c r="KC119" s="23"/>
      <c r="KD119" s="23"/>
      <c r="KE119" s="23"/>
      <c r="KF119" s="23"/>
      <c r="KG119" s="23"/>
      <c r="KH119" s="23"/>
      <c r="KI119" s="23"/>
      <c r="KJ119" s="23"/>
      <c r="KK119" s="23"/>
      <c r="KL119" s="23"/>
      <c r="KM119" s="23"/>
      <c r="KN119" s="23"/>
      <c r="KO119" s="23"/>
      <c r="KP119" s="23"/>
      <c r="KQ119" s="23"/>
      <c r="KR119" s="23"/>
      <c r="KS119" s="16">
        <v>1.1000000000000001</v>
      </c>
      <c r="KT119" s="17"/>
      <c r="KU119" s="16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25">
        <v>-0.125</v>
      </c>
    </row>
    <row r="120" spans="1:321" ht="15" customHeight="1" x14ac:dyDescent="0.2">
      <c r="A120" s="4" t="str">
        <f>crop!A120</f>
        <v>CS #1: potato - wheat - rapeseed - faba bean - wheat</v>
      </c>
      <c r="B120" s="4" t="str">
        <f>crop!B120</f>
        <v>C.12.5.be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17"/>
      <c r="AB120" s="17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  <c r="IZ120" s="23"/>
      <c r="JA120" s="23"/>
      <c r="JB120" s="23"/>
      <c r="JC120" s="23"/>
      <c r="JD120" s="23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/>
      <c r="JQ120" s="23"/>
      <c r="JR120" s="23"/>
      <c r="JS120" s="23"/>
      <c r="JT120" s="23"/>
      <c r="JU120" s="23"/>
      <c r="JV120" s="23"/>
      <c r="JW120" s="23"/>
      <c r="JX120" s="23"/>
      <c r="JY120" s="23"/>
      <c r="JZ120" s="23"/>
      <c r="KA120" s="23"/>
      <c r="KB120" s="23"/>
      <c r="KC120" s="23"/>
      <c r="KD120" s="23"/>
      <c r="KE120" s="23"/>
      <c r="KF120" s="23"/>
      <c r="KG120" s="23"/>
      <c r="KH120" s="23"/>
      <c r="KI120" s="23"/>
      <c r="KJ120" s="23"/>
      <c r="KK120" s="23"/>
      <c r="KL120" s="23"/>
      <c r="KM120" s="23"/>
      <c r="KN120" s="23"/>
      <c r="KO120" s="23"/>
      <c r="KP120" s="23"/>
      <c r="KQ120" s="23"/>
      <c r="KR120" s="23"/>
      <c r="KS120" s="16">
        <v>1.1000000000000001</v>
      </c>
      <c r="KT120" s="17"/>
      <c r="KU120" s="16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25">
        <v>-0.125</v>
      </c>
    </row>
    <row r="121" spans="1:321" ht="15" customHeight="1" x14ac:dyDescent="0.2">
      <c r="A121" s="4" t="str">
        <f>crop!A121</f>
        <v>CS #1: grassland (3 years) - maize - wheat</v>
      </c>
      <c r="B121" s="4" t="str">
        <f>crop!B121</f>
        <v>C.12.6.be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17"/>
      <c r="AB121" s="17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  <c r="IZ121" s="23"/>
      <c r="JA121" s="23"/>
      <c r="JB121" s="23"/>
      <c r="JC121" s="23"/>
      <c r="JD121" s="23"/>
      <c r="JE121" s="23"/>
      <c r="JF121" s="23"/>
      <c r="JG121" s="23"/>
      <c r="JH121" s="23"/>
      <c r="JI121" s="23"/>
      <c r="JJ121" s="23"/>
      <c r="JK121" s="23"/>
      <c r="JL121" s="23"/>
      <c r="JM121" s="23"/>
      <c r="JN121" s="23"/>
      <c r="JO121" s="23"/>
      <c r="JP121" s="23"/>
      <c r="JQ121" s="23"/>
      <c r="JR121" s="23"/>
      <c r="JS121" s="23"/>
      <c r="JT121" s="23"/>
      <c r="JU121" s="23"/>
      <c r="JV121" s="23"/>
      <c r="JW121" s="23"/>
      <c r="JX121" s="23"/>
      <c r="JY121" s="23"/>
      <c r="JZ121" s="23"/>
      <c r="KA121" s="23"/>
      <c r="KB121" s="23"/>
      <c r="KC121" s="23"/>
      <c r="KD121" s="23"/>
      <c r="KE121" s="23"/>
      <c r="KF121" s="23"/>
      <c r="KG121" s="23"/>
      <c r="KH121" s="23"/>
      <c r="KI121" s="23"/>
      <c r="KJ121" s="23"/>
      <c r="KK121" s="23"/>
      <c r="KL121" s="23"/>
      <c r="KM121" s="23"/>
      <c r="KN121" s="23"/>
      <c r="KO121" s="23"/>
      <c r="KP121" s="23"/>
      <c r="KQ121" s="23"/>
      <c r="KR121" s="23"/>
      <c r="KS121" s="16">
        <v>0.7</v>
      </c>
      <c r="KT121" s="17"/>
      <c r="KU121" s="16"/>
      <c r="KV121" s="17"/>
      <c r="KW121" s="17"/>
      <c r="KX121" s="17"/>
      <c r="KY121" s="17"/>
      <c r="KZ121" s="17"/>
      <c r="LA121" s="17"/>
      <c r="LB121" s="17"/>
      <c r="LC121" s="17"/>
      <c r="LD121" s="17"/>
      <c r="LE121" s="17"/>
      <c r="LF121" s="17"/>
      <c r="LG121" s="17"/>
      <c r="LH121" s="17"/>
      <c r="LI121" s="25">
        <v>-0.125</v>
      </c>
    </row>
    <row r="122" spans="1:321" ht="15" customHeight="1" x14ac:dyDescent="0.2">
      <c r="A122" s="4" t="str">
        <f>crop!A122</f>
        <v>CS #1: grassland (3 years) - wheat - sugar beet - wheat</v>
      </c>
      <c r="B122" s="4" t="str">
        <f>crop!B122</f>
        <v>C.12.7.be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17"/>
      <c r="AB122" s="17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  <c r="IZ122" s="23"/>
      <c r="JA122" s="23"/>
      <c r="JB122" s="23"/>
      <c r="JC122" s="23"/>
      <c r="JD122" s="23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3"/>
      <c r="KJ122" s="23"/>
      <c r="KK122" s="23"/>
      <c r="KL122" s="23"/>
      <c r="KM122" s="23"/>
      <c r="KN122" s="23"/>
      <c r="KO122" s="23"/>
      <c r="KP122" s="23"/>
      <c r="KQ122" s="23"/>
      <c r="KR122" s="23"/>
      <c r="KS122" s="16">
        <v>0.7</v>
      </c>
      <c r="KT122" s="17"/>
      <c r="KU122" s="16"/>
      <c r="KV122" s="17"/>
      <c r="KW122" s="17"/>
      <c r="KX122" s="17"/>
      <c r="KY122" s="17"/>
      <c r="KZ122" s="17"/>
      <c r="LA122" s="17"/>
      <c r="LB122" s="17"/>
      <c r="LC122" s="17"/>
      <c r="LD122" s="17"/>
      <c r="LE122" s="17"/>
      <c r="LF122" s="17"/>
      <c r="LG122" s="17"/>
      <c r="LH122" s="17"/>
      <c r="LI122" s="25">
        <v>-0.125</v>
      </c>
    </row>
    <row r="123" spans="1:321" ht="15" customHeight="1" x14ac:dyDescent="0.2">
      <c r="A123" s="4" t="str">
        <f>crop!A123</f>
        <v>CS #1: alfalfa (3 years) - maize - wheat - sugar beet - wheat - barley</v>
      </c>
      <c r="B123" s="4" t="str">
        <f>crop!B123</f>
        <v>C.12.8.be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17"/>
      <c r="AB123" s="17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  <c r="IZ123" s="23"/>
      <c r="JA123" s="23"/>
      <c r="JB123" s="23"/>
      <c r="JC123" s="23"/>
      <c r="JD123" s="23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3"/>
      <c r="KJ123" s="23"/>
      <c r="KK123" s="23"/>
      <c r="KL123" s="23"/>
      <c r="KM123" s="23"/>
      <c r="KN123" s="23"/>
      <c r="KO123" s="23"/>
      <c r="KP123" s="23"/>
      <c r="KQ123" s="23"/>
      <c r="KR123" s="23"/>
      <c r="KS123" s="16">
        <v>0.8</v>
      </c>
      <c r="KT123" s="17"/>
      <c r="KU123" s="16"/>
      <c r="KV123" s="16">
        <v>1</v>
      </c>
      <c r="KW123" s="17"/>
      <c r="KX123" s="17"/>
      <c r="KY123" s="17"/>
      <c r="KZ123" s="17"/>
      <c r="LA123" s="17"/>
      <c r="LB123" s="17"/>
      <c r="LC123" s="17"/>
      <c r="LD123" s="17"/>
      <c r="LE123" s="17"/>
      <c r="LF123" s="17"/>
      <c r="LG123" s="17"/>
      <c r="LH123" s="17"/>
      <c r="LI123" s="25">
        <v>-0.25</v>
      </c>
    </row>
    <row r="124" spans="1:321" ht="15" customHeight="1" x14ac:dyDescent="0.2">
      <c r="A124" s="4" t="str">
        <f>crop!A124</f>
        <v>CS #1: grassland (3 years) - maize - wheat - faba bean - wheat - rapeseed - wheat</v>
      </c>
      <c r="B124" s="4" t="str">
        <f>crop!B124</f>
        <v>C.12.9.be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17"/>
      <c r="AB124" s="17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  <c r="IZ124" s="23"/>
      <c r="JA124" s="23"/>
      <c r="JB124" s="23"/>
      <c r="JC124" s="23"/>
      <c r="JD124" s="23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3"/>
      <c r="KJ124" s="23"/>
      <c r="KK124" s="23"/>
      <c r="KL124" s="23"/>
      <c r="KM124" s="23"/>
      <c r="KN124" s="23"/>
      <c r="KO124" s="23"/>
      <c r="KP124" s="23"/>
      <c r="KQ124" s="23"/>
      <c r="KR124" s="23"/>
      <c r="KS124" s="16">
        <v>0.8</v>
      </c>
      <c r="KT124" s="17"/>
      <c r="KU124" s="16"/>
      <c r="KV124" s="16">
        <v>1</v>
      </c>
      <c r="KW124" s="17"/>
      <c r="KX124" s="17"/>
      <c r="KY124" s="17"/>
      <c r="KZ124" s="17"/>
      <c r="LA124" s="17"/>
      <c r="LB124" s="17"/>
      <c r="LC124" s="17"/>
      <c r="LD124" s="17"/>
      <c r="LE124" s="17"/>
      <c r="LF124" s="17"/>
      <c r="LG124" s="17"/>
      <c r="LH124" s="17"/>
      <c r="LI124" s="25">
        <v>-0.25</v>
      </c>
    </row>
    <row r="125" spans="1:321" ht="15" customHeight="1" x14ac:dyDescent="0.2">
      <c r="A125" s="4" t="str">
        <f>crop!A125</f>
        <v>CS #2: maize - wheat - barley</v>
      </c>
      <c r="B125" s="4" t="str">
        <f>crop!B125</f>
        <v>C.13.1.be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17"/>
      <c r="AB125" s="17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  <c r="IZ125" s="23"/>
      <c r="JA125" s="2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3"/>
      <c r="KJ125" s="23"/>
      <c r="KK125" s="23"/>
      <c r="KL125" s="23"/>
      <c r="KM125" s="23"/>
      <c r="KN125" s="23"/>
      <c r="KO125" s="23"/>
      <c r="KP125" s="23"/>
      <c r="KQ125" s="23"/>
      <c r="KR125" s="23"/>
      <c r="KS125" s="17"/>
      <c r="KT125" s="16"/>
      <c r="KU125" s="16">
        <v>0.8</v>
      </c>
      <c r="KV125" s="17"/>
      <c r="KW125" s="17"/>
      <c r="KX125" s="17"/>
      <c r="KY125" s="17"/>
      <c r="KZ125" s="17"/>
      <c r="LA125" s="17"/>
      <c r="LB125" s="17"/>
      <c r="LC125" s="17"/>
      <c r="LD125" s="17"/>
      <c r="LE125" s="17"/>
      <c r="LF125" s="17"/>
      <c r="LG125" s="17"/>
      <c r="LH125" s="17"/>
      <c r="LI125" s="25"/>
    </row>
    <row r="126" spans="1:321" ht="15" customHeight="1" x14ac:dyDescent="0.2">
      <c r="A126" s="4" t="str">
        <f>crop!A126</f>
        <v>CS #2: sugar beet - wheat - potato - wheat</v>
      </c>
      <c r="B126" s="4" t="str">
        <f>crop!B126</f>
        <v>C.13.2.be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17"/>
      <c r="AB126" s="17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  <c r="IZ126" s="23"/>
      <c r="JA126" s="2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3"/>
      <c r="KJ126" s="23"/>
      <c r="KK126" s="23"/>
      <c r="KL126" s="23"/>
      <c r="KM126" s="23"/>
      <c r="KN126" s="23"/>
      <c r="KO126" s="23"/>
      <c r="KP126" s="23"/>
      <c r="KQ126" s="23"/>
      <c r="KR126" s="23"/>
      <c r="KS126" s="17"/>
      <c r="KT126" s="16"/>
      <c r="KU126" s="16"/>
      <c r="KV126" s="17"/>
      <c r="KW126" s="17"/>
      <c r="KX126" s="17"/>
      <c r="KY126" s="17"/>
      <c r="KZ126" s="17"/>
      <c r="LA126" s="17"/>
      <c r="LB126" s="17"/>
      <c r="LC126" s="17"/>
      <c r="LD126" s="17"/>
      <c r="LE126" s="17"/>
      <c r="LF126" s="17"/>
      <c r="LG126" s="17"/>
      <c r="LH126" s="17"/>
      <c r="LI126" s="25">
        <v>-0.125</v>
      </c>
    </row>
    <row r="127" spans="1:321" ht="15" customHeight="1" x14ac:dyDescent="0.2">
      <c r="A127" s="4" t="str">
        <f>crop!A127</f>
        <v>CS #2: potato - wheat - rapeseed - wheat</v>
      </c>
      <c r="B127" s="4" t="str">
        <f>crop!B127</f>
        <v>C.13.3.be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17"/>
      <c r="AB127" s="17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  <c r="IZ127" s="23"/>
      <c r="JA127" s="2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17"/>
      <c r="KT127" s="16"/>
      <c r="KU127" s="16"/>
      <c r="KV127" s="17"/>
      <c r="KW127" s="17"/>
      <c r="KX127" s="17"/>
      <c r="KY127" s="17"/>
      <c r="KZ127" s="17"/>
      <c r="LA127" s="17"/>
      <c r="LB127" s="17"/>
      <c r="LC127" s="17"/>
      <c r="LD127" s="17"/>
      <c r="LE127" s="17"/>
      <c r="LF127" s="17"/>
      <c r="LG127" s="17"/>
      <c r="LH127" s="17"/>
      <c r="LI127" s="25">
        <v>-0.125</v>
      </c>
    </row>
    <row r="128" spans="1:321" ht="15" customHeight="1" x14ac:dyDescent="0.2">
      <c r="A128" s="4" t="str">
        <f>crop!A128</f>
        <v>CS #2: alfalfa (3 years) - maize - wheat</v>
      </c>
      <c r="B128" s="4" t="str">
        <f>crop!B128</f>
        <v>C.13.4.be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17"/>
      <c r="AB128" s="17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3"/>
      <c r="KQ128" s="23"/>
      <c r="KR128" s="23"/>
      <c r="KS128" s="17"/>
      <c r="KT128" s="16">
        <v>1.1000000000000001</v>
      </c>
      <c r="KU128" s="16"/>
      <c r="KV128" s="17"/>
      <c r="KW128" s="17"/>
      <c r="KX128" s="17"/>
      <c r="KY128" s="17"/>
      <c r="KZ128" s="17"/>
      <c r="LA128" s="17"/>
      <c r="LB128" s="17"/>
      <c r="LC128" s="17"/>
      <c r="LD128" s="17"/>
      <c r="LE128" s="17"/>
      <c r="LF128" s="17"/>
      <c r="LG128" s="17"/>
      <c r="LH128" s="17"/>
      <c r="LI128" s="25">
        <v>-0.125</v>
      </c>
    </row>
    <row r="129" spans="1:321" ht="15" customHeight="1" x14ac:dyDescent="0.2">
      <c r="A129" s="4" t="str">
        <f>crop!A129</f>
        <v>CS #2: potato - wheat - rapeseed - faba bean - wheat</v>
      </c>
      <c r="B129" s="4" t="str">
        <f>crop!B129</f>
        <v>C.13.5.be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17"/>
      <c r="AB129" s="17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17"/>
      <c r="KT129" s="16">
        <v>1.1000000000000001</v>
      </c>
      <c r="KU129" s="16"/>
      <c r="KV129" s="17"/>
      <c r="KW129" s="17"/>
      <c r="KX129" s="17"/>
      <c r="KY129" s="17"/>
      <c r="KZ129" s="17"/>
      <c r="LA129" s="17"/>
      <c r="LB129" s="17"/>
      <c r="LC129" s="17"/>
      <c r="LD129" s="17"/>
      <c r="LE129" s="17"/>
      <c r="LF129" s="17"/>
      <c r="LG129" s="17"/>
      <c r="LH129" s="17"/>
      <c r="LI129" s="25">
        <v>-0.125</v>
      </c>
    </row>
    <row r="130" spans="1:321" ht="15" customHeight="1" x14ac:dyDescent="0.2">
      <c r="A130" s="4" t="str">
        <f>crop!A130</f>
        <v>CS #2: grassland (3 years) - maize - wheat</v>
      </c>
      <c r="B130" s="4" t="str">
        <f>crop!B130</f>
        <v>C.13.6.be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17"/>
      <c r="AB130" s="17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17"/>
      <c r="KT130" s="16">
        <v>0.7</v>
      </c>
      <c r="KU130" s="16"/>
      <c r="KV130" s="17"/>
      <c r="KW130" s="17"/>
      <c r="KX130" s="17"/>
      <c r="KY130" s="17"/>
      <c r="KZ130" s="17"/>
      <c r="LA130" s="17"/>
      <c r="LB130" s="17"/>
      <c r="LC130" s="17"/>
      <c r="LD130" s="17"/>
      <c r="LE130" s="17"/>
      <c r="LF130" s="17"/>
      <c r="LG130" s="17"/>
      <c r="LH130" s="17"/>
      <c r="LI130" s="25">
        <v>-0.125</v>
      </c>
    </row>
    <row r="131" spans="1:321" ht="15" customHeight="1" x14ac:dyDescent="0.2">
      <c r="A131" s="4" t="str">
        <f>crop!A131</f>
        <v>CS #2: grassland (3 years) - wheat - sugar beet - wheat</v>
      </c>
      <c r="B131" s="4" t="str">
        <f>crop!B131</f>
        <v>C.13.7.be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17"/>
      <c r="AB131" s="17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  <c r="IZ131" s="23"/>
      <c r="JA131" s="2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3"/>
      <c r="KR131" s="23"/>
      <c r="KS131" s="17"/>
      <c r="KT131" s="16">
        <v>0.7</v>
      </c>
      <c r="KU131" s="16"/>
      <c r="KV131" s="17"/>
      <c r="KW131" s="17"/>
      <c r="KX131" s="17"/>
      <c r="KY131" s="17"/>
      <c r="KZ131" s="17"/>
      <c r="LA131" s="17"/>
      <c r="LB131" s="17"/>
      <c r="LC131" s="17"/>
      <c r="LD131" s="17"/>
      <c r="LE131" s="17"/>
      <c r="LF131" s="17"/>
      <c r="LG131" s="17"/>
      <c r="LH131" s="17"/>
      <c r="LI131" s="25">
        <v>-0.125</v>
      </c>
    </row>
    <row r="132" spans="1:321" ht="15" customHeight="1" x14ac:dyDescent="0.2">
      <c r="A132" s="4" t="str">
        <f>crop!A132</f>
        <v>CS #2: alfalfa (3 years) - maize - wheat - sugar beet - wheat - barley</v>
      </c>
      <c r="B132" s="4" t="str">
        <f>crop!B132</f>
        <v>C.13.8.be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17"/>
      <c r="AB132" s="17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  <c r="IZ132" s="23"/>
      <c r="JA132" s="23"/>
      <c r="JB132" s="23"/>
      <c r="JC132" s="23"/>
      <c r="JD132" s="23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3"/>
      <c r="KQ132" s="23"/>
      <c r="KR132" s="23"/>
      <c r="KS132" s="17"/>
      <c r="KT132" s="16">
        <v>0.8</v>
      </c>
      <c r="KU132" s="16"/>
      <c r="KV132" s="16">
        <v>1</v>
      </c>
      <c r="KW132" s="17"/>
      <c r="KX132" s="17"/>
      <c r="KY132" s="17"/>
      <c r="KZ132" s="17"/>
      <c r="LA132" s="17"/>
      <c r="LB132" s="17"/>
      <c r="LC132" s="17"/>
      <c r="LD132" s="17"/>
      <c r="LE132" s="17"/>
      <c r="LF132" s="17"/>
      <c r="LG132" s="17"/>
      <c r="LH132" s="17"/>
      <c r="LI132" s="25">
        <v>-0.25</v>
      </c>
    </row>
    <row r="133" spans="1:321" ht="15" customHeight="1" x14ac:dyDescent="0.2">
      <c r="A133" s="6" t="str">
        <f>crop!A133</f>
        <v>CS #2: grassland (3 years) - maize - wheat - faba bean - wheat - rapeseed - wheat</v>
      </c>
      <c r="B133" s="6" t="str">
        <f>crop!B133</f>
        <v>C.13.9.be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17"/>
      <c r="AB133" s="17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  <c r="IZ133" s="23"/>
      <c r="JA133" s="23"/>
      <c r="JB133" s="23"/>
      <c r="JC133" s="23"/>
      <c r="JD133" s="23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3"/>
      <c r="KQ133" s="23"/>
      <c r="KR133" s="23"/>
      <c r="KS133" s="17"/>
      <c r="KT133" s="16">
        <v>0.8</v>
      </c>
      <c r="KU133" s="16"/>
      <c r="KV133" s="16">
        <v>1</v>
      </c>
      <c r="KW133" s="17"/>
      <c r="KX133" s="17"/>
      <c r="KY133" s="17"/>
      <c r="KZ133" s="17"/>
      <c r="LA133" s="17"/>
      <c r="LB133" s="17"/>
      <c r="LC133" s="17"/>
      <c r="LD133" s="17"/>
      <c r="LE133" s="17"/>
      <c r="LF133" s="17"/>
      <c r="LG133" s="17"/>
      <c r="LH133" s="17"/>
      <c r="LI133" s="25">
        <v>-0.25</v>
      </c>
    </row>
    <row r="134" spans="1:321" ht="15" customHeight="1" x14ac:dyDescent="0.2">
      <c r="A134" s="7" t="str">
        <f>crop!A134</f>
        <v>CS #1: maize - wheat</v>
      </c>
      <c r="B134" s="7" t="str">
        <f>crop!B134</f>
        <v>C.12.1.it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17"/>
      <c r="AB134" s="17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  <c r="IZ134" s="23"/>
      <c r="JA134" s="23"/>
      <c r="JB134" s="23"/>
      <c r="JC134" s="23"/>
      <c r="JD134" s="23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16"/>
      <c r="KT134" s="17"/>
      <c r="KU134" s="16">
        <v>0.8</v>
      </c>
      <c r="KV134" s="17"/>
      <c r="KW134" s="17"/>
      <c r="KX134" s="17"/>
      <c r="KY134" s="17"/>
      <c r="KZ134" s="17"/>
      <c r="LA134" s="17"/>
      <c r="LB134" s="17"/>
      <c r="LC134" s="17"/>
      <c r="LD134" s="17"/>
      <c r="LE134" s="17"/>
      <c r="LF134" s="17"/>
      <c r="LG134" s="17"/>
      <c r="LH134" s="17"/>
      <c r="LI134" s="25"/>
    </row>
    <row r="135" spans="1:321" ht="15" customHeight="1" x14ac:dyDescent="0.2">
      <c r="A135" s="4" t="str">
        <f>crop!A135</f>
        <v>CS #1: sorghum - wheat - potato</v>
      </c>
      <c r="B135" s="4" t="str">
        <f>crop!B135</f>
        <v>C.12.2.it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17"/>
      <c r="AB135" s="17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  <c r="IZ135" s="23"/>
      <c r="JA135" s="23"/>
      <c r="JB135" s="23"/>
      <c r="JC135" s="23"/>
      <c r="JD135" s="23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3"/>
      <c r="KR135" s="23"/>
      <c r="KS135" s="16"/>
      <c r="KT135" s="17"/>
      <c r="KU135" s="16"/>
      <c r="KV135" s="17"/>
      <c r="KW135" s="17"/>
      <c r="KX135" s="17"/>
      <c r="KY135" s="17"/>
      <c r="KZ135" s="17"/>
      <c r="LA135" s="17"/>
      <c r="LB135" s="17"/>
      <c r="LC135" s="17"/>
      <c r="LD135" s="17"/>
      <c r="LE135" s="17"/>
      <c r="LF135" s="17"/>
      <c r="LG135" s="17"/>
      <c r="LH135" s="17"/>
      <c r="LI135" s="25">
        <v>-0.125</v>
      </c>
    </row>
    <row r="136" spans="1:321" ht="15" customHeight="1" x14ac:dyDescent="0.2">
      <c r="A136" s="4" t="str">
        <f>crop!A136</f>
        <v>CS #1: rapeseed - sorghum - wheat</v>
      </c>
      <c r="B136" s="4" t="str">
        <f>crop!B136</f>
        <v>C.12.3.it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17"/>
      <c r="AB136" s="17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  <c r="IZ136" s="23"/>
      <c r="JA136" s="23"/>
      <c r="JB136" s="23"/>
      <c r="JC136" s="23"/>
      <c r="JD136" s="23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16"/>
      <c r="KT136" s="17"/>
      <c r="KU136" s="16"/>
      <c r="KV136" s="17"/>
      <c r="KW136" s="17"/>
      <c r="KX136" s="17"/>
      <c r="KY136" s="17"/>
      <c r="KZ136" s="17"/>
      <c r="LA136" s="17"/>
      <c r="LB136" s="17"/>
      <c r="LC136" s="17"/>
      <c r="LD136" s="17"/>
      <c r="LE136" s="17"/>
      <c r="LF136" s="17"/>
      <c r="LG136" s="17"/>
      <c r="LH136" s="17"/>
      <c r="LI136" s="25">
        <v>-0.125</v>
      </c>
    </row>
    <row r="137" spans="1:321" ht="15" customHeight="1" x14ac:dyDescent="0.2">
      <c r="A137" s="4" t="str">
        <f>crop!A137</f>
        <v>CS #1: alfalfa (3 years) - maize - wheat</v>
      </c>
      <c r="B137" s="4" t="str">
        <f>crop!B137</f>
        <v>C.12.4.it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17"/>
      <c r="AB137" s="17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  <c r="IZ137" s="23"/>
      <c r="JA137" s="23"/>
      <c r="JB137" s="23"/>
      <c r="JC137" s="23"/>
      <c r="JD137" s="23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16">
        <v>1.1000000000000001</v>
      </c>
      <c r="KT137" s="17"/>
      <c r="KU137" s="16"/>
      <c r="KV137" s="17"/>
      <c r="KW137" s="17"/>
      <c r="KX137" s="17"/>
      <c r="KY137" s="17"/>
      <c r="KZ137" s="17"/>
      <c r="LA137" s="17"/>
      <c r="LB137" s="17"/>
      <c r="LC137" s="17"/>
      <c r="LD137" s="17"/>
      <c r="LE137" s="17"/>
      <c r="LF137" s="17"/>
      <c r="LG137" s="17"/>
      <c r="LH137" s="17"/>
      <c r="LI137" s="25">
        <v>-0.125</v>
      </c>
    </row>
    <row r="138" spans="1:321" ht="15" customHeight="1" x14ac:dyDescent="0.2">
      <c r="A138" s="4" t="str">
        <f>crop!A138</f>
        <v>CS #1: faba bean - wheat - rapeseed - maize</v>
      </c>
      <c r="B138" s="4" t="str">
        <f>crop!B138</f>
        <v>C.12.5.it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17"/>
      <c r="AB138" s="17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16">
        <v>1.1000000000000001</v>
      </c>
      <c r="KT138" s="17"/>
      <c r="KU138" s="16"/>
      <c r="KV138" s="17"/>
      <c r="KW138" s="17"/>
      <c r="KX138" s="17"/>
      <c r="KY138" s="17"/>
      <c r="KZ138" s="17"/>
      <c r="LA138" s="17"/>
      <c r="LB138" s="17"/>
      <c r="LC138" s="17"/>
      <c r="LD138" s="17"/>
      <c r="LE138" s="17"/>
      <c r="LF138" s="17"/>
      <c r="LG138" s="17"/>
      <c r="LH138" s="17"/>
      <c r="LI138" s="25">
        <v>-0.125</v>
      </c>
    </row>
    <row r="139" spans="1:321" ht="15" customHeight="1" x14ac:dyDescent="0.2">
      <c r="A139" s="4" t="str">
        <f>crop!A139</f>
        <v>CS #1: grassland (3 years) - maize - wheat</v>
      </c>
      <c r="B139" s="4" t="str">
        <f>crop!B139</f>
        <v>C.12.6.it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17"/>
      <c r="AB139" s="17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  <c r="IZ139" s="23"/>
      <c r="JA139" s="23"/>
      <c r="JB139" s="23"/>
      <c r="JC139" s="23"/>
      <c r="JD139" s="23"/>
      <c r="JE139" s="23"/>
      <c r="JF139" s="23"/>
      <c r="JG139" s="23"/>
      <c r="JH139" s="23"/>
      <c r="JI139" s="23"/>
      <c r="JJ139" s="23"/>
      <c r="JK139" s="23"/>
      <c r="JL139" s="23"/>
      <c r="JM139" s="23"/>
      <c r="JN139" s="23"/>
      <c r="JO139" s="23"/>
      <c r="JP139" s="23"/>
      <c r="JQ139" s="23"/>
      <c r="JR139" s="23"/>
      <c r="JS139" s="23"/>
      <c r="JT139" s="23"/>
      <c r="JU139" s="23"/>
      <c r="JV139" s="23"/>
      <c r="JW139" s="23"/>
      <c r="JX139" s="23"/>
      <c r="JY139" s="23"/>
      <c r="JZ139" s="23"/>
      <c r="KA139" s="23"/>
      <c r="KB139" s="23"/>
      <c r="KC139" s="23"/>
      <c r="KD139" s="23"/>
      <c r="KE139" s="23"/>
      <c r="KF139" s="23"/>
      <c r="KG139" s="23"/>
      <c r="KH139" s="23"/>
      <c r="KI139" s="23"/>
      <c r="KJ139" s="23"/>
      <c r="KK139" s="23"/>
      <c r="KL139" s="23"/>
      <c r="KM139" s="23"/>
      <c r="KN139" s="23"/>
      <c r="KO139" s="23"/>
      <c r="KP139" s="23"/>
      <c r="KQ139" s="23"/>
      <c r="KR139" s="23"/>
      <c r="KS139" s="16">
        <v>0.7</v>
      </c>
      <c r="KT139" s="17"/>
      <c r="KU139" s="16"/>
      <c r="KV139" s="17"/>
      <c r="KW139" s="17"/>
      <c r="KX139" s="17"/>
      <c r="KY139" s="17"/>
      <c r="KZ139" s="17"/>
      <c r="LA139" s="17"/>
      <c r="LB139" s="17"/>
      <c r="LC139" s="17"/>
      <c r="LD139" s="17"/>
      <c r="LE139" s="17"/>
      <c r="LF139" s="17"/>
      <c r="LG139" s="17"/>
      <c r="LH139" s="17"/>
      <c r="LI139" s="25">
        <v>-0.125</v>
      </c>
    </row>
    <row r="140" spans="1:321" ht="15" customHeight="1" x14ac:dyDescent="0.2">
      <c r="A140" s="4" t="str">
        <f>crop!A140</f>
        <v>CS #1: grassland (3 years) - sorghum - wheat</v>
      </c>
      <c r="B140" s="4" t="str">
        <f>crop!B140</f>
        <v>C.12.7.it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17"/>
      <c r="AB140" s="17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  <c r="IZ140" s="23"/>
      <c r="JA140" s="23"/>
      <c r="JB140" s="23"/>
      <c r="JC140" s="23"/>
      <c r="JD140" s="23"/>
      <c r="JE140" s="23"/>
      <c r="JF140" s="23"/>
      <c r="JG140" s="23"/>
      <c r="JH140" s="23"/>
      <c r="JI140" s="23"/>
      <c r="JJ140" s="23"/>
      <c r="JK140" s="23"/>
      <c r="JL140" s="23"/>
      <c r="JM140" s="23"/>
      <c r="JN140" s="23"/>
      <c r="JO140" s="23"/>
      <c r="JP140" s="23"/>
      <c r="JQ140" s="23"/>
      <c r="JR140" s="23"/>
      <c r="JS140" s="23"/>
      <c r="JT140" s="23"/>
      <c r="JU140" s="23"/>
      <c r="JV140" s="23"/>
      <c r="JW140" s="23"/>
      <c r="JX140" s="23"/>
      <c r="JY140" s="23"/>
      <c r="JZ140" s="23"/>
      <c r="KA140" s="23"/>
      <c r="KB140" s="23"/>
      <c r="KC140" s="23"/>
      <c r="KD140" s="23"/>
      <c r="KE140" s="23"/>
      <c r="KF140" s="23"/>
      <c r="KG140" s="23"/>
      <c r="KH140" s="23"/>
      <c r="KI140" s="23"/>
      <c r="KJ140" s="23"/>
      <c r="KK140" s="23"/>
      <c r="KL140" s="23"/>
      <c r="KM140" s="23"/>
      <c r="KN140" s="23"/>
      <c r="KO140" s="23"/>
      <c r="KP140" s="23"/>
      <c r="KQ140" s="23"/>
      <c r="KR140" s="23"/>
      <c r="KS140" s="16">
        <v>0.7</v>
      </c>
      <c r="KT140" s="17"/>
      <c r="KU140" s="16"/>
      <c r="KV140" s="17"/>
      <c r="KW140" s="17"/>
      <c r="KX140" s="17"/>
      <c r="KY140" s="17"/>
      <c r="KZ140" s="17"/>
      <c r="LA140" s="17"/>
      <c r="LB140" s="17"/>
      <c r="LC140" s="17"/>
      <c r="LD140" s="17"/>
      <c r="LE140" s="17"/>
      <c r="LF140" s="17"/>
      <c r="LG140" s="17"/>
      <c r="LH140" s="17"/>
      <c r="LI140" s="25">
        <v>-0.125</v>
      </c>
    </row>
    <row r="141" spans="1:321" ht="15" customHeight="1" x14ac:dyDescent="0.2">
      <c r="A141" s="4" t="str">
        <f>crop!A141</f>
        <v>CS #1: alfalfa (3 years) - maize - barley - faba bean - wheat</v>
      </c>
      <c r="B141" s="4" t="str">
        <f>crop!B141</f>
        <v>C.12.8.it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17"/>
      <c r="AB141" s="17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  <c r="IZ141" s="23"/>
      <c r="JA141" s="23"/>
      <c r="JB141" s="23"/>
      <c r="JC141" s="23"/>
      <c r="JD141" s="23"/>
      <c r="JE141" s="23"/>
      <c r="JF141" s="23"/>
      <c r="JG141" s="23"/>
      <c r="JH141" s="23"/>
      <c r="JI141" s="23"/>
      <c r="JJ141" s="23"/>
      <c r="JK141" s="23"/>
      <c r="JL141" s="23"/>
      <c r="JM141" s="23"/>
      <c r="JN141" s="23"/>
      <c r="JO141" s="23"/>
      <c r="JP141" s="23"/>
      <c r="JQ141" s="23"/>
      <c r="JR141" s="23"/>
      <c r="JS141" s="23"/>
      <c r="JT141" s="23"/>
      <c r="JU141" s="23"/>
      <c r="JV141" s="23"/>
      <c r="JW141" s="23"/>
      <c r="JX141" s="23"/>
      <c r="JY141" s="23"/>
      <c r="JZ141" s="23"/>
      <c r="KA141" s="23"/>
      <c r="KB141" s="23"/>
      <c r="KC141" s="23"/>
      <c r="KD141" s="23"/>
      <c r="KE141" s="23"/>
      <c r="KF141" s="23"/>
      <c r="KG141" s="23"/>
      <c r="KH141" s="23"/>
      <c r="KI141" s="23"/>
      <c r="KJ141" s="23"/>
      <c r="KK141" s="23"/>
      <c r="KL141" s="23"/>
      <c r="KM141" s="23"/>
      <c r="KN141" s="23"/>
      <c r="KO141" s="23"/>
      <c r="KP141" s="23"/>
      <c r="KQ141" s="23"/>
      <c r="KR141" s="23"/>
      <c r="KS141" s="16">
        <v>0.8</v>
      </c>
      <c r="KT141" s="17"/>
      <c r="KU141" s="16"/>
      <c r="KV141" s="16">
        <v>1</v>
      </c>
      <c r="KW141" s="17"/>
      <c r="KX141" s="17"/>
      <c r="KY141" s="17"/>
      <c r="KZ141" s="17"/>
      <c r="LA141" s="17"/>
      <c r="LB141" s="17"/>
      <c r="LC141" s="17"/>
      <c r="LD141" s="17"/>
      <c r="LE141" s="17"/>
      <c r="LF141" s="17"/>
      <c r="LG141" s="17"/>
      <c r="LH141" s="17"/>
      <c r="LI141" s="25">
        <v>-0.25</v>
      </c>
    </row>
    <row r="142" spans="1:321" ht="15" customHeight="1" x14ac:dyDescent="0.2">
      <c r="A142" s="4" t="str">
        <f>crop!A142</f>
        <v>CS #1: alfalfa (3 years) - sorghum - barley - faba bean - rapeseed - wheat</v>
      </c>
      <c r="B142" s="4" t="str">
        <f>crop!B142</f>
        <v>C.12.9.it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17"/>
      <c r="AB142" s="17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  <c r="IZ142" s="23"/>
      <c r="JA142" s="23"/>
      <c r="JB142" s="23"/>
      <c r="JC142" s="23"/>
      <c r="JD142" s="23"/>
      <c r="JE142" s="23"/>
      <c r="JF142" s="23"/>
      <c r="JG142" s="23"/>
      <c r="JH142" s="23"/>
      <c r="JI142" s="23"/>
      <c r="JJ142" s="23"/>
      <c r="JK142" s="23"/>
      <c r="JL142" s="23"/>
      <c r="JM142" s="23"/>
      <c r="JN142" s="23"/>
      <c r="JO142" s="23"/>
      <c r="JP142" s="23"/>
      <c r="JQ142" s="23"/>
      <c r="JR142" s="23"/>
      <c r="JS142" s="23"/>
      <c r="JT142" s="23"/>
      <c r="JU142" s="23"/>
      <c r="JV142" s="23"/>
      <c r="JW142" s="23"/>
      <c r="JX142" s="23"/>
      <c r="JY142" s="23"/>
      <c r="JZ142" s="23"/>
      <c r="KA142" s="23"/>
      <c r="KB142" s="23"/>
      <c r="KC142" s="23"/>
      <c r="KD142" s="23"/>
      <c r="KE142" s="23"/>
      <c r="KF142" s="23"/>
      <c r="KG142" s="23"/>
      <c r="KH142" s="23"/>
      <c r="KI142" s="23"/>
      <c r="KJ142" s="23"/>
      <c r="KK142" s="23"/>
      <c r="KL142" s="23"/>
      <c r="KM142" s="23"/>
      <c r="KN142" s="23"/>
      <c r="KO142" s="23"/>
      <c r="KP142" s="23"/>
      <c r="KQ142" s="23"/>
      <c r="KR142" s="23"/>
      <c r="KS142" s="16">
        <v>0.8</v>
      </c>
      <c r="KT142" s="17"/>
      <c r="KU142" s="16"/>
      <c r="KV142" s="16">
        <v>1</v>
      </c>
      <c r="KW142" s="17"/>
      <c r="KX142" s="17"/>
      <c r="KY142" s="17"/>
      <c r="KZ142" s="17"/>
      <c r="LA142" s="17"/>
      <c r="LB142" s="17"/>
      <c r="LC142" s="17"/>
      <c r="LD142" s="17"/>
      <c r="LE142" s="17"/>
      <c r="LF142" s="17"/>
      <c r="LG142" s="17"/>
      <c r="LH142" s="17"/>
      <c r="LI142" s="25">
        <v>-0.25</v>
      </c>
    </row>
    <row r="143" spans="1:321" ht="15" customHeight="1" x14ac:dyDescent="0.2">
      <c r="A143" s="4" t="str">
        <f>crop!A143</f>
        <v>CS #2: maize - wheat</v>
      </c>
      <c r="B143" s="4" t="str">
        <f>crop!B143</f>
        <v>C.13.1.it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17"/>
      <c r="AB143" s="17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  <c r="IZ143" s="23"/>
      <c r="JA143" s="23"/>
      <c r="JB143" s="23"/>
      <c r="JC143" s="23"/>
      <c r="JD143" s="23"/>
      <c r="JE143" s="23"/>
      <c r="JF143" s="23"/>
      <c r="JG143" s="23"/>
      <c r="JH143" s="23"/>
      <c r="JI143" s="23"/>
      <c r="JJ143" s="23"/>
      <c r="JK143" s="23"/>
      <c r="JL143" s="23"/>
      <c r="JM143" s="23"/>
      <c r="JN143" s="23"/>
      <c r="JO143" s="23"/>
      <c r="JP143" s="23"/>
      <c r="JQ143" s="23"/>
      <c r="JR143" s="23"/>
      <c r="JS143" s="23"/>
      <c r="JT143" s="23"/>
      <c r="JU143" s="23"/>
      <c r="JV143" s="23"/>
      <c r="JW143" s="23"/>
      <c r="JX143" s="23"/>
      <c r="JY143" s="23"/>
      <c r="JZ143" s="23"/>
      <c r="KA143" s="23"/>
      <c r="KB143" s="23"/>
      <c r="KC143" s="23"/>
      <c r="KD143" s="23"/>
      <c r="KE143" s="23"/>
      <c r="KF143" s="23"/>
      <c r="KG143" s="23"/>
      <c r="KH143" s="23"/>
      <c r="KI143" s="23"/>
      <c r="KJ143" s="23"/>
      <c r="KK143" s="23"/>
      <c r="KL143" s="23"/>
      <c r="KM143" s="23"/>
      <c r="KN143" s="23"/>
      <c r="KO143" s="23"/>
      <c r="KP143" s="23"/>
      <c r="KQ143" s="23"/>
      <c r="KR143" s="23"/>
      <c r="KS143" s="17"/>
      <c r="KT143" s="16"/>
      <c r="KU143" s="16">
        <v>0.8</v>
      </c>
      <c r="KV143" s="17"/>
      <c r="KW143" s="17"/>
      <c r="KX143" s="17"/>
      <c r="KY143" s="17"/>
      <c r="KZ143" s="17"/>
      <c r="LA143" s="17"/>
      <c r="LB143" s="17"/>
      <c r="LC143" s="17"/>
      <c r="LD143" s="17"/>
      <c r="LE143" s="17"/>
      <c r="LF143" s="17"/>
      <c r="LG143" s="17"/>
      <c r="LH143" s="17"/>
      <c r="LI143" s="25"/>
    </row>
    <row r="144" spans="1:321" ht="15" customHeight="1" x14ac:dyDescent="0.2">
      <c r="A144" s="4" t="str">
        <f>crop!A144</f>
        <v>CS #2: sorghum - wheat - potato</v>
      </c>
      <c r="B144" s="4" t="str">
        <f>crop!B144</f>
        <v>C.13.2.it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17"/>
      <c r="AB144" s="17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  <c r="IZ144" s="23"/>
      <c r="JA144" s="23"/>
      <c r="JB144" s="23"/>
      <c r="JC144" s="23"/>
      <c r="JD144" s="23"/>
      <c r="JE144" s="23"/>
      <c r="JF144" s="23"/>
      <c r="JG144" s="23"/>
      <c r="JH144" s="23"/>
      <c r="JI144" s="23"/>
      <c r="JJ144" s="23"/>
      <c r="JK144" s="23"/>
      <c r="JL144" s="23"/>
      <c r="JM144" s="23"/>
      <c r="JN144" s="23"/>
      <c r="JO144" s="23"/>
      <c r="JP144" s="23"/>
      <c r="JQ144" s="23"/>
      <c r="JR144" s="23"/>
      <c r="JS144" s="23"/>
      <c r="JT144" s="23"/>
      <c r="JU144" s="23"/>
      <c r="JV144" s="23"/>
      <c r="JW144" s="23"/>
      <c r="JX144" s="23"/>
      <c r="JY144" s="23"/>
      <c r="JZ144" s="23"/>
      <c r="KA144" s="23"/>
      <c r="KB144" s="23"/>
      <c r="KC144" s="23"/>
      <c r="KD144" s="23"/>
      <c r="KE144" s="23"/>
      <c r="KF144" s="23"/>
      <c r="KG144" s="23"/>
      <c r="KH144" s="23"/>
      <c r="KI144" s="23"/>
      <c r="KJ144" s="23"/>
      <c r="KK144" s="23"/>
      <c r="KL144" s="23"/>
      <c r="KM144" s="23"/>
      <c r="KN144" s="23"/>
      <c r="KO144" s="23"/>
      <c r="KP144" s="23"/>
      <c r="KQ144" s="23"/>
      <c r="KR144" s="23"/>
      <c r="KS144" s="17"/>
      <c r="KT144" s="16"/>
      <c r="KU144" s="16"/>
      <c r="KV144" s="17"/>
      <c r="KW144" s="17"/>
      <c r="KX144" s="17"/>
      <c r="KY144" s="17"/>
      <c r="KZ144" s="17"/>
      <c r="LA144" s="17"/>
      <c r="LB144" s="17"/>
      <c r="LC144" s="17"/>
      <c r="LD144" s="17"/>
      <c r="LE144" s="17"/>
      <c r="LF144" s="17"/>
      <c r="LG144" s="17"/>
      <c r="LH144" s="17"/>
      <c r="LI144" s="25">
        <v>-0.125</v>
      </c>
    </row>
    <row r="145" spans="1:321" ht="15" customHeight="1" x14ac:dyDescent="0.2">
      <c r="A145" s="4" t="str">
        <f>crop!A145</f>
        <v>CS #2: rapeseed - sorghum - wheat</v>
      </c>
      <c r="B145" s="4" t="str">
        <f>crop!B145</f>
        <v>C.13.3.it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17"/>
      <c r="AB145" s="17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  <c r="IZ145" s="23"/>
      <c r="JA145" s="23"/>
      <c r="JB145" s="23"/>
      <c r="JC145" s="23"/>
      <c r="JD145" s="23"/>
      <c r="JE145" s="23"/>
      <c r="JF145" s="23"/>
      <c r="JG145" s="23"/>
      <c r="JH145" s="23"/>
      <c r="JI145" s="23"/>
      <c r="JJ145" s="23"/>
      <c r="JK145" s="23"/>
      <c r="JL145" s="23"/>
      <c r="JM145" s="23"/>
      <c r="JN145" s="23"/>
      <c r="JO145" s="23"/>
      <c r="JP145" s="23"/>
      <c r="JQ145" s="23"/>
      <c r="JR145" s="23"/>
      <c r="JS145" s="23"/>
      <c r="JT145" s="23"/>
      <c r="JU145" s="23"/>
      <c r="JV145" s="23"/>
      <c r="JW145" s="23"/>
      <c r="JX145" s="23"/>
      <c r="JY145" s="23"/>
      <c r="JZ145" s="23"/>
      <c r="KA145" s="23"/>
      <c r="KB145" s="23"/>
      <c r="KC145" s="23"/>
      <c r="KD145" s="23"/>
      <c r="KE145" s="23"/>
      <c r="KF145" s="23"/>
      <c r="KG145" s="23"/>
      <c r="KH145" s="23"/>
      <c r="KI145" s="23"/>
      <c r="KJ145" s="23"/>
      <c r="KK145" s="23"/>
      <c r="KL145" s="23"/>
      <c r="KM145" s="23"/>
      <c r="KN145" s="23"/>
      <c r="KO145" s="23"/>
      <c r="KP145" s="23"/>
      <c r="KQ145" s="23"/>
      <c r="KR145" s="23"/>
      <c r="KS145" s="17"/>
      <c r="KT145" s="16"/>
      <c r="KU145" s="16"/>
      <c r="KV145" s="17"/>
      <c r="KW145" s="17"/>
      <c r="KX145" s="17"/>
      <c r="KY145" s="17"/>
      <c r="KZ145" s="17"/>
      <c r="LA145" s="17"/>
      <c r="LB145" s="17"/>
      <c r="LC145" s="17"/>
      <c r="LD145" s="17"/>
      <c r="LE145" s="17"/>
      <c r="LF145" s="17"/>
      <c r="LG145" s="17"/>
      <c r="LH145" s="17"/>
      <c r="LI145" s="25">
        <v>-0.125</v>
      </c>
    </row>
    <row r="146" spans="1:321" ht="15" customHeight="1" x14ac:dyDescent="0.2">
      <c r="A146" s="4" t="str">
        <f>crop!A146</f>
        <v>CS #2: alfalfa (3 years) - maize - wheat</v>
      </c>
      <c r="B146" s="4" t="str">
        <f>crop!B146</f>
        <v>C.13.4.it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17"/>
      <c r="AB146" s="17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/>
      <c r="JQ146" s="23"/>
      <c r="JR146" s="23"/>
      <c r="JS146" s="23"/>
      <c r="JT146" s="23"/>
      <c r="JU146" s="23"/>
      <c r="JV146" s="23"/>
      <c r="JW146" s="23"/>
      <c r="JX146" s="23"/>
      <c r="JY146" s="23"/>
      <c r="JZ146" s="23"/>
      <c r="KA146" s="23"/>
      <c r="KB146" s="23"/>
      <c r="KC146" s="23"/>
      <c r="KD146" s="23"/>
      <c r="KE146" s="23"/>
      <c r="KF146" s="23"/>
      <c r="KG146" s="23"/>
      <c r="KH146" s="23"/>
      <c r="KI146" s="23"/>
      <c r="KJ146" s="23"/>
      <c r="KK146" s="23"/>
      <c r="KL146" s="23"/>
      <c r="KM146" s="23"/>
      <c r="KN146" s="23"/>
      <c r="KO146" s="23"/>
      <c r="KP146" s="23"/>
      <c r="KQ146" s="23"/>
      <c r="KR146" s="23"/>
      <c r="KS146" s="17"/>
      <c r="KT146" s="16">
        <v>1.1000000000000001</v>
      </c>
      <c r="KU146" s="16"/>
      <c r="KV146" s="17"/>
      <c r="KW146" s="17"/>
      <c r="KX146" s="17"/>
      <c r="KY146" s="17"/>
      <c r="KZ146" s="17"/>
      <c r="LA146" s="17"/>
      <c r="LB146" s="17"/>
      <c r="LC146" s="17"/>
      <c r="LD146" s="17"/>
      <c r="LE146" s="17"/>
      <c r="LF146" s="17"/>
      <c r="LG146" s="17"/>
      <c r="LH146" s="17"/>
      <c r="LI146" s="25">
        <v>-0.125</v>
      </c>
    </row>
    <row r="147" spans="1:321" ht="15" customHeight="1" x14ac:dyDescent="0.2">
      <c r="A147" s="4" t="str">
        <f>crop!A147</f>
        <v>CS #2: faba bean - wheat - rapeseed - maize</v>
      </c>
      <c r="B147" s="4" t="str">
        <f>crop!B147</f>
        <v>C.13.5.it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17"/>
      <c r="AB147" s="17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  <c r="IZ147" s="23"/>
      <c r="JA147" s="23"/>
      <c r="JB147" s="23"/>
      <c r="JC147" s="23"/>
      <c r="JD147" s="23"/>
      <c r="JE147" s="23"/>
      <c r="JF147" s="23"/>
      <c r="JG147" s="23"/>
      <c r="JH147" s="23"/>
      <c r="JI147" s="23"/>
      <c r="JJ147" s="23"/>
      <c r="JK147" s="23"/>
      <c r="JL147" s="23"/>
      <c r="JM147" s="23"/>
      <c r="JN147" s="23"/>
      <c r="JO147" s="23"/>
      <c r="JP147" s="23"/>
      <c r="JQ147" s="23"/>
      <c r="JR147" s="23"/>
      <c r="JS147" s="23"/>
      <c r="JT147" s="23"/>
      <c r="JU147" s="23"/>
      <c r="JV147" s="23"/>
      <c r="JW147" s="23"/>
      <c r="JX147" s="23"/>
      <c r="JY147" s="23"/>
      <c r="JZ147" s="23"/>
      <c r="KA147" s="23"/>
      <c r="KB147" s="23"/>
      <c r="KC147" s="23"/>
      <c r="KD147" s="23"/>
      <c r="KE147" s="23"/>
      <c r="KF147" s="23"/>
      <c r="KG147" s="23"/>
      <c r="KH147" s="23"/>
      <c r="KI147" s="23"/>
      <c r="KJ147" s="23"/>
      <c r="KK147" s="23"/>
      <c r="KL147" s="23"/>
      <c r="KM147" s="23"/>
      <c r="KN147" s="23"/>
      <c r="KO147" s="23"/>
      <c r="KP147" s="23"/>
      <c r="KQ147" s="23"/>
      <c r="KR147" s="23"/>
      <c r="KS147" s="17"/>
      <c r="KT147" s="16">
        <v>1.1000000000000001</v>
      </c>
      <c r="KU147" s="16"/>
      <c r="KV147" s="17"/>
      <c r="KW147" s="17"/>
      <c r="KX147" s="17"/>
      <c r="KY147" s="17"/>
      <c r="KZ147" s="17"/>
      <c r="LA147" s="17"/>
      <c r="LB147" s="17"/>
      <c r="LC147" s="17"/>
      <c r="LD147" s="17"/>
      <c r="LE147" s="17"/>
      <c r="LF147" s="17"/>
      <c r="LG147" s="17"/>
      <c r="LH147" s="17"/>
      <c r="LI147" s="25">
        <v>-0.125</v>
      </c>
    </row>
    <row r="148" spans="1:321" ht="15" customHeight="1" x14ac:dyDescent="0.2">
      <c r="A148" s="4" t="str">
        <f>crop!A148</f>
        <v>CS #2: grassland (3 years) - maize - wheat</v>
      </c>
      <c r="B148" s="4" t="str">
        <f>crop!B148</f>
        <v>C.13.6.it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17"/>
      <c r="AB148" s="17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  <c r="KG148" s="23"/>
      <c r="KH148" s="23"/>
      <c r="KI148" s="23"/>
      <c r="KJ148" s="23"/>
      <c r="KK148" s="23"/>
      <c r="KL148" s="23"/>
      <c r="KM148" s="23"/>
      <c r="KN148" s="23"/>
      <c r="KO148" s="23"/>
      <c r="KP148" s="23"/>
      <c r="KQ148" s="23"/>
      <c r="KR148" s="23"/>
      <c r="KS148" s="17"/>
      <c r="KT148" s="16">
        <v>0.7</v>
      </c>
      <c r="KU148" s="16"/>
      <c r="KV148" s="17"/>
      <c r="KW148" s="17"/>
      <c r="KX148" s="17"/>
      <c r="KY148" s="17"/>
      <c r="KZ148" s="17"/>
      <c r="LA148" s="17"/>
      <c r="LB148" s="17"/>
      <c r="LC148" s="17"/>
      <c r="LD148" s="17"/>
      <c r="LE148" s="17"/>
      <c r="LF148" s="17"/>
      <c r="LG148" s="17"/>
      <c r="LH148" s="17"/>
      <c r="LI148" s="25">
        <v>-0.125</v>
      </c>
    </row>
    <row r="149" spans="1:321" ht="15" customHeight="1" x14ac:dyDescent="0.2">
      <c r="A149" s="4" t="str">
        <f>crop!A149</f>
        <v>CS #2: grassland (3 years) - sorghum - wheat</v>
      </c>
      <c r="B149" s="4" t="str">
        <f>crop!B149</f>
        <v>C.13.7.it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17"/>
      <c r="AB149" s="17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  <c r="IZ149" s="23"/>
      <c r="JA149" s="23"/>
      <c r="JB149" s="23"/>
      <c r="JC149" s="23"/>
      <c r="JD149" s="23"/>
      <c r="JE149" s="23"/>
      <c r="JF149" s="23"/>
      <c r="JG149" s="23"/>
      <c r="JH149" s="23"/>
      <c r="JI149" s="23"/>
      <c r="JJ149" s="23"/>
      <c r="JK149" s="23"/>
      <c r="JL149" s="23"/>
      <c r="JM149" s="23"/>
      <c r="JN149" s="23"/>
      <c r="JO149" s="23"/>
      <c r="JP149" s="23"/>
      <c r="JQ149" s="23"/>
      <c r="JR149" s="23"/>
      <c r="JS149" s="23"/>
      <c r="JT149" s="23"/>
      <c r="JU149" s="23"/>
      <c r="JV149" s="23"/>
      <c r="JW149" s="23"/>
      <c r="JX149" s="23"/>
      <c r="JY149" s="23"/>
      <c r="JZ149" s="23"/>
      <c r="KA149" s="23"/>
      <c r="KB149" s="23"/>
      <c r="KC149" s="23"/>
      <c r="KD149" s="23"/>
      <c r="KE149" s="23"/>
      <c r="KF149" s="23"/>
      <c r="KG149" s="23"/>
      <c r="KH149" s="23"/>
      <c r="KI149" s="23"/>
      <c r="KJ149" s="23"/>
      <c r="KK149" s="23"/>
      <c r="KL149" s="23"/>
      <c r="KM149" s="23"/>
      <c r="KN149" s="23"/>
      <c r="KO149" s="23"/>
      <c r="KP149" s="23"/>
      <c r="KQ149" s="23"/>
      <c r="KR149" s="23"/>
      <c r="KS149" s="17"/>
      <c r="KT149" s="16">
        <v>0.7</v>
      </c>
      <c r="KU149" s="16"/>
      <c r="KV149" s="17"/>
      <c r="KW149" s="17"/>
      <c r="KX149" s="17"/>
      <c r="KY149" s="17"/>
      <c r="KZ149" s="17"/>
      <c r="LA149" s="17"/>
      <c r="LB149" s="17"/>
      <c r="LC149" s="17"/>
      <c r="LD149" s="17"/>
      <c r="LE149" s="17"/>
      <c r="LF149" s="17"/>
      <c r="LG149" s="17"/>
      <c r="LH149" s="17"/>
      <c r="LI149" s="25">
        <v>-0.125</v>
      </c>
    </row>
    <row r="150" spans="1:321" ht="15" customHeight="1" x14ac:dyDescent="0.2">
      <c r="A150" s="4" t="str">
        <f>crop!A150</f>
        <v>CS #2: alfalfa (3 years) - maize - barley - faba bean - wheat</v>
      </c>
      <c r="B150" s="4" t="str">
        <f>crop!B150</f>
        <v>C.13.8.it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17"/>
      <c r="AB150" s="17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  <c r="KG150" s="23"/>
      <c r="KH150" s="23"/>
      <c r="KI150" s="23"/>
      <c r="KJ150" s="23"/>
      <c r="KK150" s="23"/>
      <c r="KL150" s="23"/>
      <c r="KM150" s="23"/>
      <c r="KN150" s="23"/>
      <c r="KO150" s="23"/>
      <c r="KP150" s="23"/>
      <c r="KQ150" s="23"/>
      <c r="KR150" s="23"/>
      <c r="KS150" s="17"/>
      <c r="KT150" s="16">
        <v>0.8</v>
      </c>
      <c r="KU150" s="16"/>
      <c r="KV150" s="16">
        <v>1</v>
      </c>
      <c r="KW150" s="17"/>
      <c r="KX150" s="17"/>
      <c r="KY150" s="17"/>
      <c r="KZ150" s="17"/>
      <c r="LA150" s="17"/>
      <c r="LB150" s="17"/>
      <c r="LC150" s="17"/>
      <c r="LD150" s="17"/>
      <c r="LE150" s="17"/>
      <c r="LF150" s="17"/>
      <c r="LG150" s="17"/>
      <c r="LH150" s="17"/>
      <c r="LI150" s="25">
        <v>-0.25</v>
      </c>
    </row>
    <row r="151" spans="1:321" ht="15" customHeight="1" x14ac:dyDescent="0.2">
      <c r="A151" s="6" t="str">
        <f>crop!A151</f>
        <v>CS #2: alfalfa (3 years) - sorghum - barley - faba bean - rapeseed - wheat</v>
      </c>
      <c r="B151" s="6" t="str">
        <f>crop!B151</f>
        <v>C.13.9.it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17"/>
      <c r="AB151" s="17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/>
      <c r="KQ151" s="23"/>
      <c r="KR151" s="23"/>
      <c r="KS151" s="17"/>
      <c r="KT151" s="16">
        <v>0.8</v>
      </c>
      <c r="KU151" s="16"/>
      <c r="KV151" s="16">
        <v>1</v>
      </c>
      <c r="KW151" s="17"/>
      <c r="KX151" s="17"/>
      <c r="KY151" s="17"/>
      <c r="KZ151" s="17"/>
      <c r="LA151" s="17"/>
      <c r="LB151" s="17"/>
      <c r="LC151" s="17"/>
      <c r="LD151" s="17"/>
      <c r="LE151" s="17"/>
      <c r="LF151" s="17"/>
      <c r="LG151" s="17"/>
      <c r="LH151" s="17"/>
      <c r="LI151" s="25">
        <v>-0.25</v>
      </c>
    </row>
    <row r="152" spans="1:321" ht="15" customHeight="1" x14ac:dyDescent="0.2">
      <c r="A152" s="7" t="str">
        <f>crop!A152</f>
        <v>CS #1: maize - wheat</v>
      </c>
      <c r="B152" s="7" t="str">
        <f>crop!B152</f>
        <v>C.12.1.pl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17"/>
      <c r="AB152" s="17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KH152" s="23"/>
      <c r="KI152" s="23"/>
      <c r="KJ152" s="23"/>
      <c r="KK152" s="23"/>
      <c r="KL152" s="23"/>
      <c r="KM152" s="23"/>
      <c r="KN152" s="23"/>
      <c r="KO152" s="23"/>
      <c r="KP152" s="23"/>
      <c r="KQ152" s="23"/>
      <c r="KR152" s="23"/>
      <c r="KS152" s="16"/>
      <c r="KT152" s="17"/>
      <c r="KU152" s="16">
        <v>0.8</v>
      </c>
      <c r="KV152" s="17"/>
      <c r="KW152" s="17"/>
      <c r="KX152" s="17"/>
      <c r="KY152" s="17"/>
      <c r="KZ152" s="17"/>
      <c r="LA152" s="17"/>
      <c r="LB152" s="17"/>
      <c r="LC152" s="17"/>
      <c r="LD152" s="17"/>
      <c r="LE152" s="17"/>
      <c r="LF152" s="17"/>
      <c r="LG152" s="17"/>
      <c r="LH152" s="17"/>
      <c r="LI152" s="25"/>
    </row>
    <row r="153" spans="1:321" ht="15" customHeight="1" x14ac:dyDescent="0.2">
      <c r="A153" s="4" t="str">
        <f>crop!A153</f>
        <v>CS #1: rapeseed - wheat - maize - barley</v>
      </c>
      <c r="B153" s="4" t="str">
        <f>crop!B153</f>
        <v>C.12.2.pl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17"/>
      <c r="AB153" s="17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/>
      <c r="JQ153" s="23"/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  <c r="KG153" s="23"/>
      <c r="KH153" s="23"/>
      <c r="KI153" s="23"/>
      <c r="KJ153" s="23"/>
      <c r="KK153" s="23"/>
      <c r="KL153" s="23"/>
      <c r="KM153" s="23"/>
      <c r="KN153" s="23"/>
      <c r="KO153" s="23"/>
      <c r="KP153" s="23"/>
      <c r="KQ153" s="23"/>
      <c r="KR153" s="23"/>
      <c r="KS153" s="16"/>
      <c r="KT153" s="17"/>
      <c r="KU153" s="16"/>
      <c r="KV153" s="17"/>
      <c r="KW153" s="17"/>
      <c r="KX153" s="17"/>
      <c r="KY153" s="17"/>
      <c r="KZ153" s="17"/>
      <c r="LA153" s="17"/>
      <c r="LB153" s="17"/>
      <c r="LC153" s="17"/>
      <c r="LD153" s="17"/>
      <c r="LE153" s="17"/>
      <c r="LF153" s="17"/>
      <c r="LG153" s="17"/>
      <c r="LH153" s="17"/>
      <c r="LI153" s="25">
        <v>-0.125</v>
      </c>
    </row>
    <row r="154" spans="1:321" ht="15" customHeight="1" x14ac:dyDescent="0.2">
      <c r="A154" s="4" t="str">
        <f>crop!A154</f>
        <v>CS #1: potato - wheat - maize - barley</v>
      </c>
      <c r="B154" s="4" t="str">
        <f>crop!B154</f>
        <v>C.12.3.pl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17"/>
      <c r="AB154" s="17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  <c r="KG154" s="23"/>
      <c r="KH154" s="23"/>
      <c r="KI154" s="23"/>
      <c r="KJ154" s="23"/>
      <c r="KK154" s="23"/>
      <c r="KL154" s="23"/>
      <c r="KM154" s="23"/>
      <c r="KN154" s="23"/>
      <c r="KO154" s="23"/>
      <c r="KP154" s="23"/>
      <c r="KQ154" s="23"/>
      <c r="KR154" s="23"/>
      <c r="KS154" s="16"/>
      <c r="KT154" s="17"/>
      <c r="KU154" s="16"/>
      <c r="KV154" s="17"/>
      <c r="KW154" s="17"/>
      <c r="KX154" s="17"/>
      <c r="KY154" s="17"/>
      <c r="KZ154" s="17"/>
      <c r="LA154" s="17"/>
      <c r="LB154" s="17"/>
      <c r="LC154" s="17"/>
      <c r="LD154" s="17"/>
      <c r="LE154" s="17"/>
      <c r="LF154" s="17"/>
      <c r="LG154" s="17"/>
      <c r="LH154" s="17"/>
      <c r="LI154" s="25">
        <v>-0.125</v>
      </c>
    </row>
    <row r="155" spans="1:321" ht="15" customHeight="1" x14ac:dyDescent="0.2">
      <c r="A155" s="4" t="str">
        <f>crop!A155</f>
        <v>CS #1: alfalfa (3 years) - maize - wheat</v>
      </c>
      <c r="B155" s="4" t="str">
        <f>crop!B155</f>
        <v>C.12.4.pl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17"/>
      <c r="AB155" s="17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16">
        <v>1.1000000000000001</v>
      </c>
      <c r="KT155" s="17"/>
      <c r="KU155" s="16"/>
      <c r="KV155" s="17"/>
      <c r="KW155" s="17"/>
      <c r="KX155" s="17"/>
      <c r="KY155" s="17"/>
      <c r="KZ155" s="17"/>
      <c r="LA155" s="17"/>
      <c r="LB155" s="17"/>
      <c r="LC155" s="17"/>
      <c r="LD155" s="17"/>
      <c r="LE155" s="17"/>
      <c r="LF155" s="17"/>
      <c r="LG155" s="17"/>
      <c r="LH155" s="17"/>
      <c r="LI155" s="25">
        <v>-0.125</v>
      </c>
    </row>
    <row r="156" spans="1:321" ht="15" customHeight="1" x14ac:dyDescent="0.2">
      <c r="A156" s="4" t="str">
        <f>crop!A156</f>
        <v>CS #1: faba bean - wheat - rapeseed - maize</v>
      </c>
      <c r="B156" s="4" t="str">
        <f>crop!B156</f>
        <v>C.12.5.pl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17"/>
      <c r="AB156" s="17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16">
        <v>1.1000000000000001</v>
      </c>
      <c r="KT156" s="17"/>
      <c r="KU156" s="16"/>
      <c r="KV156" s="17"/>
      <c r="KW156" s="17"/>
      <c r="KX156" s="17"/>
      <c r="KY156" s="17"/>
      <c r="KZ156" s="17"/>
      <c r="LA156" s="17"/>
      <c r="LB156" s="17"/>
      <c r="LC156" s="17"/>
      <c r="LD156" s="17"/>
      <c r="LE156" s="17"/>
      <c r="LF156" s="17"/>
      <c r="LG156" s="17"/>
      <c r="LH156" s="17"/>
      <c r="LI156" s="25">
        <v>-0.125</v>
      </c>
    </row>
    <row r="157" spans="1:321" ht="15" customHeight="1" x14ac:dyDescent="0.2">
      <c r="A157" s="4" t="str">
        <f>crop!A157</f>
        <v>CS #1: grassland (3 years) - maize - potato - wheat</v>
      </c>
      <c r="B157" s="4" t="str">
        <f>crop!B157</f>
        <v>C.12.6.pl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17"/>
      <c r="AB157" s="17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16">
        <v>0.7</v>
      </c>
      <c r="KT157" s="17"/>
      <c r="KU157" s="16"/>
      <c r="KV157" s="17"/>
      <c r="KW157" s="17"/>
      <c r="KX157" s="17"/>
      <c r="KY157" s="17"/>
      <c r="KZ157" s="17"/>
      <c r="LA157" s="17"/>
      <c r="LB157" s="17"/>
      <c r="LC157" s="17"/>
      <c r="LD157" s="17"/>
      <c r="LE157" s="17"/>
      <c r="LF157" s="17"/>
      <c r="LG157" s="17"/>
      <c r="LH157" s="17"/>
      <c r="LI157" s="25">
        <v>-0.125</v>
      </c>
    </row>
    <row r="158" spans="1:321" ht="15" customHeight="1" x14ac:dyDescent="0.2">
      <c r="A158" s="4" t="str">
        <f>crop!A158</f>
        <v>CS #1: grassland (3 years) - maize - rapeseed - wheat</v>
      </c>
      <c r="B158" s="4" t="str">
        <f>crop!B158</f>
        <v>C.12.7.pl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17"/>
      <c r="AB158" s="17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16">
        <v>0.7</v>
      </c>
      <c r="KT158" s="17"/>
      <c r="KU158" s="16"/>
      <c r="KV158" s="17"/>
      <c r="KW158" s="17"/>
      <c r="KX158" s="17"/>
      <c r="KY158" s="17"/>
      <c r="KZ158" s="17"/>
      <c r="LA158" s="17"/>
      <c r="LB158" s="17"/>
      <c r="LC158" s="17"/>
      <c r="LD158" s="17"/>
      <c r="LE158" s="17"/>
      <c r="LF158" s="17"/>
      <c r="LG158" s="17"/>
      <c r="LH158" s="17"/>
      <c r="LI158" s="25">
        <v>-0.125</v>
      </c>
    </row>
    <row r="159" spans="1:321" ht="15" customHeight="1" x14ac:dyDescent="0.2">
      <c r="A159" s="4" t="str">
        <f>crop!A159</f>
        <v>CS #1: faba bean - potato - wheat - alfalfa (3 years) - maize - wheat</v>
      </c>
      <c r="B159" s="4" t="str">
        <f>crop!B159</f>
        <v>C.12.8.pl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17"/>
      <c r="AB159" s="17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16">
        <v>0.8</v>
      </c>
      <c r="KT159" s="17"/>
      <c r="KU159" s="16"/>
      <c r="KV159" s="16">
        <v>1</v>
      </c>
      <c r="KW159" s="17"/>
      <c r="KX159" s="17"/>
      <c r="KY159" s="17"/>
      <c r="KZ159" s="17"/>
      <c r="LA159" s="17"/>
      <c r="LB159" s="17"/>
      <c r="LC159" s="17"/>
      <c r="LD159" s="17"/>
      <c r="LE159" s="17"/>
      <c r="LF159" s="17"/>
      <c r="LG159" s="17"/>
      <c r="LH159" s="17"/>
      <c r="LI159" s="25">
        <v>-0.25</v>
      </c>
    </row>
    <row r="160" spans="1:321" ht="15" customHeight="1" x14ac:dyDescent="0.2">
      <c r="A160" s="4" t="str">
        <f>crop!A160</f>
        <v>CS #1: grassland (3 years) - maize - wheat - faba bean - rapeseed</v>
      </c>
      <c r="B160" s="4" t="str">
        <f>crop!B160</f>
        <v>C.12.9.pl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17"/>
      <c r="AB160" s="17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16">
        <v>0.8</v>
      </c>
      <c r="KT160" s="17"/>
      <c r="KU160" s="16"/>
      <c r="KV160" s="16">
        <v>1</v>
      </c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25">
        <v>-0.25</v>
      </c>
    </row>
    <row r="161" spans="1:321" ht="15" customHeight="1" x14ac:dyDescent="0.2">
      <c r="A161" s="4" t="str">
        <f>crop!A161</f>
        <v>CS #2: maize - wheat</v>
      </c>
      <c r="B161" s="4" t="str">
        <f>crop!B161</f>
        <v>C.13.1.pl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17"/>
      <c r="AB161" s="17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17"/>
      <c r="KT161" s="16"/>
      <c r="KU161" s="16">
        <v>0.8</v>
      </c>
      <c r="KV161" s="17"/>
      <c r="KW161" s="17"/>
      <c r="KX161" s="17"/>
      <c r="KY161" s="17"/>
      <c r="KZ161" s="17"/>
      <c r="LA161" s="17"/>
      <c r="LB161" s="17"/>
      <c r="LC161" s="17"/>
      <c r="LD161" s="17"/>
      <c r="LE161" s="17"/>
      <c r="LF161" s="17"/>
      <c r="LG161" s="17"/>
      <c r="LH161" s="17"/>
      <c r="LI161" s="25"/>
    </row>
    <row r="162" spans="1:321" ht="15" customHeight="1" x14ac:dyDescent="0.2">
      <c r="A162" s="4" t="str">
        <f>crop!A162</f>
        <v>CS #2: rapeseed - wheat - maize - barley</v>
      </c>
      <c r="B162" s="4" t="str">
        <f>crop!B162</f>
        <v>C.13.2.pl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17"/>
      <c r="AB162" s="17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  <c r="GS162" s="24"/>
      <c r="GT162" s="24"/>
      <c r="GU162" s="24"/>
      <c r="GV162" s="24"/>
      <c r="GW162" s="24"/>
      <c r="GX162" s="24"/>
      <c r="GY162" s="24"/>
      <c r="GZ162" s="24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17"/>
      <c r="KT162" s="16"/>
      <c r="KU162" s="16"/>
      <c r="KV162" s="17"/>
      <c r="KW162" s="17"/>
      <c r="KX162" s="17"/>
      <c r="KY162" s="17"/>
      <c r="KZ162" s="17"/>
      <c r="LA162" s="17"/>
      <c r="LB162" s="17"/>
      <c r="LC162" s="17"/>
      <c r="LD162" s="17"/>
      <c r="LE162" s="17"/>
      <c r="LF162" s="17"/>
      <c r="LG162" s="17"/>
      <c r="LH162" s="17"/>
      <c r="LI162" s="25">
        <v>-0.125</v>
      </c>
    </row>
    <row r="163" spans="1:321" ht="15" customHeight="1" x14ac:dyDescent="0.2">
      <c r="A163" s="4" t="str">
        <f>crop!A163</f>
        <v>CS #2: potato - wheat - maize - barley</v>
      </c>
      <c r="B163" s="4" t="str">
        <f>crop!B163</f>
        <v>C.13.3.pl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17"/>
      <c r="AB163" s="17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17"/>
      <c r="KT163" s="16"/>
      <c r="KU163" s="16"/>
      <c r="KV163" s="17"/>
      <c r="KW163" s="17"/>
      <c r="KX163" s="17"/>
      <c r="KY163" s="17"/>
      <c r="KZ163" s="17"/>
      <c r="LA163" s="17"/>
      <c r="LB163" s="17"/>
      <c r="LC163" s="17"/>
      <c r="LD163" s="17"/>
      <c r="LE163" s="17"/>
      <c r="LF163" s="17"/>
      <c r="LG163" s="17"/>
      <c r="LH163" s="17"/>
      <c r="LI163" s="25">
        <v>-0.125</v>
      </c>
    </row>
    <row r="164" spans="1:321" ht="15" customHeight="1" x14ac:dyDescent="0.2">
      <c r="A164" s="4" t="str">
        <f>crop!A164</f>
        <v>CS #2: alfalfa (3 years) - maize - wheat</v>
      </c>
      <c r="B164" s="4" t="str">
        <f>crop!B164</f>
        <v>C.13.4.pl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17"/>
      <c r="AB164" s="17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17"/>
      <c r="KT164" s="16">
        <v>1.1000000000000001</v>
      </c>
      <c r="KU164" s="16"/>
      <c r="KV164" s="17"/>
      <c r="KW164" s="17"/>
      <c r="KX164" s="17"/>
      <c r="KY164" s="17"/>
      <c r="KZ164" s="17"/>
      <c r="LA164" s="17"/>
      <c r="LB164" s="17"/>
      <c r="LC164" s="17"/>
      <c r="LD164" s="17"/>
      <c r="LE164" s="17"/>
      <c r="LF164" s="17"/>
      <c r="LG164" s="17"/>
      <c r="LH164" s="17"/>
      <c r="LI164" s="25">
        <v>-0.125</v>
      </c>
    </row>
    <row r="165" spans="1:321" ht="15" customHeight="1" x14ac:dyDescent="0.2">
      <c r="A165" s="4" t="str">
        <f>crop!A165</f>
        <v>CS #2: faba bean - wheat - rapeseed - maize</v>
      </c>
      <c r="B165" s="4" t="str">
        <f>crop!B165</f>
        <v>C.13.5.pl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17"/>
      <c r="AB165" s="17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17"/>
      <c r="KT165" s="16">
        <v>1.1000000000000001</v>
      </c>
      <c r="KU165" s="16"/>
      <c r="KV165" s="17"/>
      <c r="KW165" s="17"/>
      <c r="KX165" s="17"/>
      <c r="KY165" s="17"/>
      <c r="KZ165" s="17"/>
      <c r="LA165" s="17"/>
      <c r="LB165" s="17"/>
      <c r="LC165" s="17"/>
      <c r="LD165" s="17"/>
      <c r="LE165" s="17"/>
      <c r="LF165" s="17"/>
      <c r="LG165" s="17"/>
      <c r="LH165" s="17"/>
      <c r="LI165" s="25">
        <v>-0.125</v>
      </c>
    </row>
    <row r="166" spans="1:321" ht="15" customHeight="1" x14ac:dyDescent="0.2">
      <c r="A166" s="4" t="str">
        <f>crop!A166</f>
        <v>CS #2: grassland (3 years) - maize - potato - wheat</v>
      </c>
      <c r="B166" s="4" t="str">
        <f>crop!B166</f>
        <v>C.13.6.pl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17"/>
      <c r="AB166" s="17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17"/>
      <c r="KT166" s="16">
        <v>0.7</v>
      </c>
      <c r="KU166" s="16"/>
      <c r="KV166" s="17"/>
      <c r="KW166" s="17"/>
      <c r="KX166" s="17"/>
      <c r="KY166" s="17"/>
      <c r="KZ166" s="17"/>
      <c r="LA166" s="17"/>
      <c r="LB166" s="17"/>
      <c r="LC166" s="17"/>
      <c r="LD166" s="17"/>
      <c r="LE166" s="17"/>
      <c r="LF166" s="17"/>
      <c r="LG166" s="17"/>
      <c r="LH166" s="17"/>
      <c r="LI166" s="25">
        <v>-0.125</v>
      </c>
    </row>
    <row r="167" spans="1:321" ht="15" customHeight="1" x14ac:dyDescent="0.2">
      <c r="A167" s="4" t="str">
        <f>crop!A167</f>
        <v>CS #2: grassland (3 years) - maize - rapeseed - wheat</v>
      </c>
      <c r="B167" s="4" t="str">
        <f>crop!B167</f>
        <v>C.13.7.pl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17"/>
      <c r="AB167" s="17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17"/>
      <c r="KT167" s="16">
        <v>0.7</v>
      </c>
      <c r="KU167" s="16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7"/>
      <c r="LI167" s="25">
        <v>-0.125</v>
      </c>
    </row>
    <row r="168" spans="1:321" ht="15" customHeight="1" x14ac:dyDescent="0.2">
      <c r="A168" s="4" t="str">
        <f>crop!A168</f>
        <v>CS #2: faba bean - potato - wheat - alfalfa (3 years) - maize - wheat</v>
      </c>
      <c r="B168" s="4" t="str">
        <f>crop!B168</f>
        <v>C.13.8.pl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17"/>
      <c r="AB168" s="17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17"/>
      <c r="KT168" s="16">
        <v>0.8</v>
      </c>
      <c r="KU168" s="16"/>
      <c r="KV168" s="16">
        <v>1</v>
      </c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7"/>
      <c r="LI168" s="25">
        <v>-0.25</v>
      </c>
    </row>
    <row r="169" spans="1:321" ht="15" customHeight="1" x14ac:dyDescent="0.2">
      <c r="A169" s="6" t="str">
        <f>crop!A169</f>
        <v>CS #2: grassland (3 years) - maize - wheat - faba bean - rapeseed</v>
      </c>
      <c r="B169" s="6" t="str">
        <f>crop!B169</f>
        <v>C.13.9.pl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17"/>
      <c r="AB169" s="17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17"/>
      <c r="KT169" s="16">
        <v>0.8</v>
      </c>
      <c r="KU169" s="16"/>
      <c r="KV169" s="16">
        <v>1</v>
      </c>
      <c r="KW169" s="17"/>
      <c r="KX169" s="17"/>
      <c r="KY169" s="17"/>
      <c r="KZ169" s="17"/>
      <c r="LA169" s="17"/>
      <c r="LB169" s="17"/>
      <c r="LC169" s="17"/>
      <c r="LD169" s="17"/>
      <c r="LE169" s="17"/>
      <c r="LF169" s="17"/>
      <c r="LG169" s="17"/>
      <c r="LH169" s="17"/>
      <c r="LI169" s="25">
        <v>-0.25</v>
      </c>
    </row>
  </sheetData>
  <sheetProtection formatCells="0"/>
  <conditionalFormatting sqref="D3:LI133">
    <cfRule type="containsBlanks" priority="8">
      <formula>LEN(TRIM(D3))=0</formula>
    </cfRule>
    <cfRule type="notContainsBlanks" dxfId="8" priority="10">
      <formula>LEN(TRIM(D3))&gt;0</formula>
    </cfRule>
  </conditionalFormatting>
  <conditionalFormatting sqref="D134:LI151">
    <cfRule type="containsBlanks" priority="3">
      <formula>LEN(TRIM(D134))=0</formula>
    </cfRule>
    <cfRule type="notContainsBlanks" dxfId="3" priority="4">
      <formula>LEN(TRIM(D134))&gt;0</formula>
    </cfRule>
  </conditionalFormatting>
  <conditionalFormatting sqref="D152:LI169">
    <cfRule type="containsBlanks" priority="1">
      <formula>LEN(TRIM(D152))=0</formula>
    </cfRule>
    <cfRule type="notContainsBlanks" dxfId="2" priority="2">
      <formula>LEN(TRIM(D152))&gt;0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crop</vt:lpstr>
      <vt:lpstr>environment</vt:lpstr>
      <vt:lpstr>animal</vt:lpstr>
      <vt:lpstr>socioeco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Matthieu Carof</dc:creator>
  <cp:keywords/>
  <dc:description/>
  <cp:lastModifiedBy>Matthieu Carof</cp:lastModifiedBy>
  <cp:revision/>
  <dcterms:created xsi:type="dcterms:W3CDTF">2019-09-24T08:42:51Z</dcterms:created>
  <dcterms:modified xsi:type="dcterms:W3CDTF">2021-01-25T13:43:15Z</dcterms:modified>
  <cp:category/>
  <cp:contentStatus/>
</cp:coreProperties>
</file>